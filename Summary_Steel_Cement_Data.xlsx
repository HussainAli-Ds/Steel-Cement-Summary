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E9B8178B-4612-46A3-937F-1F214677F490}" xr6:coauthVersionLast="47" xr6:coauthVersionMax="47" xr10:uidLastSave="{00000000-0000-0000-0000-000000000000}"/>
  <bookViews>
    <workbookView xWindow="-120" yWindow="-120" windowWidth="29040" windowHeight="15990" tabRatio="812" firstSheet="6" activeTab="6" xr2:uid="{00000000-000D-0000-FFFF-FFFF00000000}"/>
  </bookViews>
  <sheets>
    <sheet name="july24" sheetId="1" state="hidden" r:id="rId1"/>
    <sheet name="July 26" sheetId="2" state="hidden" r:id="rId2"/>
    <sheet name="JULY 28" sheetId="3" state="hidden" r:id="rId3"/>
    <sheet name="July29" sheetId="4" state="hidden" r:id="rId4"/>
    <sheet name="July 29-1" sheetId="5" state="hidden" r:id="rId5"/>
    <sheet name="July 30" sheetId="6" state="hidden" r:id="rId6"/>
    <sheet name="Summary Steel &amp; Cement" sheetId="8" r:id="rId7"/>
    <sheet name="Cement_Data" sheetId="18" r:id="rId8"/>
    <sheet name="Steel_Data" sheetId="17" r:id="rId9"/>
  </sheets>
  <definedNames>
    <definedName name="_10mm">#REF!</definedName>
    <definedName name="_12mm">#REF!</definedName>
    <definedName name="_16mm">#REF!</definedName>
    <definedName name="_20mm">#REF!</definedName>
    <definedName name="_25mm">#REF!</definedName>
    <definedName name="Class">#REF!</definedName>
    <definedName name="Steel_Siz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8" l="1"/>
  <c r="F20" i="8"/>
  <c r="H19" i="8"/>
  <c r="F19" i="8"/>
  <c r="H18" i="8"/>
  <c r="F18" i="8"/>
  <c r="F12" i="8"/>
  <c r="E12" i="8"/>
  <c r="D12" i="8"/>
  <c r="F11" i="8"/>
  <c r="E11" i="8"/>
  <c r="D11" i="8"/>
  <c r="F5" i="8"/>
  <c r="F6" i="8"/>
  <c r="F7" i="8"/>
  <c r="F8" i="8"/>
  <c r="F9" i="8"/>
  <c r="E6" i="8" l="1"/>
  <c r="E7" i="8"/>
  <c r="E8" i="8"/>
  <c r="E9" i="8"/>
  <c r="E5" i="8"/>
  <c r="D6" i="8" l="1"/>
  <c r="D7" i="8"/>
  <c r="D8" i="8"/>
  <c r="D9" i="8"/>
  <c r="D5" i="8"/>
  <c r="V4" i="18"/>
  <c r="V5" i="18"/>
  <c r="V6" i="18"/>
  <c r="V7" i="18"/>
  <c r="V8" i="18"/>
  <c r="V9" i="18"/>
  <c r="V10" i="18"/>
  <c r="V11" i="18"/>
  <c r="V12" i="18"/>
  <c r="V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3" i="18"/>
  <c r="G19" i="17"/>
  <c r="G20" i="17"/>
  <c r="G21" i="17"/>
  <c r="G22" i="17"/>
  <c r="G23" i="17"/>
  <c r="G24" i="17"/>
  <c r="G25" i="17"/>
  <c r="G26" i="17"/>
  <c r="G27" i="17"/>
  <c r="G28" i="17"/>
  <c r="G18" i="17"/>
  <c r="H4" i="17"/>
  <c r="H5" i="17"/>
  <c r="H6" i="17"/>
  <c r="H7" i="17"/>
  <c r="H8" i="17"/>
  <c r="H9" i="17"/>
  <c r="H10" i="17"/>
  <c r="H11" i="17"/>
  <c r="H12" i="17"/>
  <c r="H13" i="17"/>
  <c r="H14" i="17"/>
  <c r="H3" i="17"/>
  <c r="E18" i="17"/>
  <c r="D3" i="17"/>
  <c r="D4" i="17"/>
  <c r="D5" i="17"/>
  <c r="D6" i="17"/>
  <c r="D7" i="17"/>
  <c r="D8" i="17"/>
  <c r="D9" i="17"/>
  <c r="D10" i="17"/>
  <c r="D11" i="17"/>
  <c r="D12" i="17"/>
  <c r="D13" i="17"/>
  <c r="D14" i="17"/>
  <c r="E19" i="17"/>
  <c r="E20" i="17"/>
  <c r="E21" i="17"/>
  <c r="E22" i="17"/>
  <c r="E23" i="17"/>
  <c r="E24" i="17"/>
  <c r="E25" i="17"/>
  <c r="E26" i="17"/>
  <c r="E27" i="17"/>
  <c r="E28" i="17"/>
  <c r="G4" i="17"/>
  <c r="G5" i="17"/>
  <c r="G6" i="17"/>
  <c r="G7" i="17"/>
  <c r="G8" i="17"/>
  <c r="G9" i="17"/>
  <c r="G10" i="17"/>
  <c r="G11" i="17"/>
  <c r="G12" i="17"/>
  <c r="G13" i="17"/>
  <c r="G14" i="17"/>
  <c r="G3" i="17"/>
  <c r="J6" i="1" l="1"/>
</calcChain>
</file>

<file path=xl/sharedStrings.xml><?xml version="1.0" encoding="utf-8"?>
<sst xmlns="http://schemas.openxmlformats.org/spreadsheetml/2006/main" count="512" uniqueCount="162">
  <si>
    <t>10MM, 3/8"</t>
  </si>
  <si>
    <t>12MM, 1/2"</t>
  </si>
  <si>
    <t>Remarks</t>
  </si>
  <si>
    <t xml:space="preserve">                    ZAHEER KHAN AND BROTHERS</t>
  </si>
  <si>
    <t>Lot-2 Bhiria to Rani Pur Highway</t>
  </si>
  <si>
    <t>20MM, 3/4"</t>
  </si>
  <si>
    <t xml:space="preserve">         Daily Steel report</t>
  </si>
  <si>
    <t xml:space="preserve">    Project:</t>
  </si>
  <si>
    <t xml:space="preserve"> Steel Previous Balance Kgs</t>
  </si>
  <si>
    <t>Steel Used Kgs</t>
  </si>
  <si>
    <t>Steel Remaining Balance Kgs</t>
  </si>
  <si>
    <t>Total Steel  Kgs</t>
  </si>
  <si>
    <t>25MM, 1"</t>
  </si>
  <si>
    <t>16MM, 5/8"</t>
  </si>
  <si>
    <t>Dated Upto 24/07/025</t>
  </si>
  <si>
    <t>Remaining Balance</t>
  </si>
  <si>
    <t>Total Steel</t>
  </si>
  <si>
    <t>Used Steel</t>
  </si>
  <si>
    <t>Dated 27/07/025</t>
  </si>
  <si>
    <t>3934.26 Steel used  RD 387+060</t>
  </si>
  <si>
    <t>Steel Used RD 361+500</t>
  </si>
  <si>
    <t>Dated 28/07/025</t>
  </si>
  <si>
    <t>Balance Remaining</t>
  </si>
  <si>
    <t>Steel Used RD 386+150</t>
  </si>
  <si>
    <t>Opening Balance</t>
  </si>
  <si>
    <t>Dated 29/07/025</t>
  </si>
  <si>
    <t>Steel Used RD 371+360 Kandyaro</t>
  </si>
  <si>
    <t>Steel Used Kgs RD 371+360 Kan</t>
  </si>
  <si>
    <t>Steel Used Kgs RD 385+175</t>
  </si>
  <si>
    <t xml:space="preserve">Steel Used RD 386+175 Kotri Kabir </t>
  </si>
  <si>
    <t>RD 385+175 Kotri Kabir</t>
  </si>
  <si>
    <t>Used in Plant</t>
  </si>
  <si>
    <t>Used in Plant,RD361+500</t>
  </si>
  <si>
    <t>Upto July according to Engineer report Total 53.56 Steel 12mm used in Culverts</t>
  </si>
  <si>
    <t>20mm 6119 Kgs Used in Plant</t>
  </si>
  <si>
    <t>12mm 53560 Kgs used upto 29/07/025</t>
  </si>
  <si>
    <t>Upto July29/07/025 Steel Used=53560kgs ,29-30/07/025 Steel Used=3520Kgs, Total Steel Used 57080.0 Kgs</t>
  </si>
  <si>
    <t>S.No</t>
  </si>
  <si>
    <t>Date</t>
  </si>
  <si>
    <t>Steel Bar Size</t>
  </si>
  <si>
    <t>Steel Size</t>
  </si>
  <si>
    <t>3/8"</t>
  </si>
  <si>
    <t>1/2"</t>
  </si>
  <si>
    <t>5/8"</t>
  </si>
  <si>
    <t>3/4"</t>
  </si>
  <si>
    <t>1"</t>
  </si>
  <si>
    <t>To</t>
  </si>
  <si>
    <t>ZAHIR KHAN AND BROTHERS</t>
  </si>
  <si>
    <t xml:space="preserve">    Project: Lot-2 Bhiria to Rani Pur Highway</t>
  </si>
  <si>
    <t>weight</t>
  </si>
  <si>
    <t>kg/m</t>
  </si>
  <si>
    <t>10mm</t>
  </si>
  <si>
    <t>12mm</t>
  </si>
  <si>
    <t>16mm</t>
  </si>
  <si>
    <t>20mm</t>
  </si>
  <si>
    <t>25mm</t>
  </si>
  <si>
    <t>Size</t>
  </si>
  <si>
    <t>Length of bar</t>
  </si>
  <si>
    <t>Total Steel Received</t>
  </si>
  <si>
    <t>Weight</t>
  </si>
  <si>
    <t>Qty Consumed</t>
  </si>
  <si>
    <t>Total Consumed</t>
  </si>
  <si>
    <t>Steel Received
(KG)</t>
  </si>
  <si>
    <t>Steel Remaining
(KG)</t>
  </si>
  <si>
    <t>This Steel used from 01 April to 05 Aug2025</t>
  </si>
  <si>
    <t>Total Steel Received Ton</t>
  </si>
  <si>
    <t>From</t>
  </si>
  <si>
    <t>Received</t>
  </si>
  <si>
    <t>Consumed</t>
  </si>
  <si>
    <t>KG</t>
  </si>
  <si>
    <t>A2 Class</t>
  </si>
  <si>
    <t>A3 Class</t>
  </si>
  <si>
    <t>B Class</t>
  </si>
  <si>
    <t>Lean</t>
  </si>
  <si>
    <t xml:space="preserve">Class </t>
  </si>
  <si>
    <t>Standard Volume cement consume (Per CF)</t>
  </si>
  <si>
    <t>Total Cubic meter (Consumed)</t>
  </si>
  <si>
    <t>Cement Consumed</t>
  </si>
  <si>
    <t>Culvert</t>
  </si>
  <si>
    <t>RD 362+480 to 362 +500</t>
  </si>
  <si>
    <t>Concrete</t>
  </si>
  <si>
    <t>culvert</t>
  </si>
  <si>
    <t>Toe Wall Concrete</t>
  </si>
  <si>
    <t>Toe Wall</t>
  </si>
  <si>
    <t xml:space="preserve">Lean  Culvert  Concrete </t>
  </si>
  <si>
    <t>RD 363+920</t>
  </si>
  <si>
    <t>A3 Concret Culverte</t>
  </si>
  <si>
    <t xml:space="preserve">Lean Culvert Concrete </t>
  </si>
  <si>
    <t>B Class Concreate</t>
  </si>
  <si>
    <t>Toe Wall B Class</t>
  </si>
  <si>
    <t>Toe Wall 2nd B Class</t>
  </si>
  <si>
    <t xml:space="preserve">Lean Culvert  </t>
  </si>
  <si>
    <t>A3 Colvert Approch Slab</t>
  </si>
  <si>
    <t>A3 Concret Culverte Top</t>
  </si>
  <si>
    <t>A3 Concret Culverte Bed</t>
  </si>
  <si>
    <t>Lean Cluvert Concrete</t>
  </si>
  <si>
    <t>Lean Coulvert</t>
  </si>
  <si>
    <t>B Class Toe wall</t>
  </si>
  <si>
    <t>Lean concreate compund wall</t>
  </si>
  <si>
    <t>Culvert Top Slab</t>
  </si>
  <si>
    <t>Top Slab</t>
  </si>
  <si>
    <t>Culvert Bed</t>
  </si>
  <si>
    <t>Concrete Culvert</t>
  </si>
  <si>
    <t>toe wall</t>
  </si>
  <si>
    <t>concrete</t>
  </si>
  <si>
    <t>test pile</t>
  </si>
  <si>
    <t>Toe wall</t>
  </si>
  <si>
    <t>culvert bed</t>
  </si>
  <si>
    <t>Culvert Wall and Top Slab</t>
  </si>
  <si>
    <t>concrte toe wall</t>
  </si>
  <si>
    <t>Description</t>
  </si>
  <si>
    <t>Unit</t>
  </si>
  <si>
    <t>Order No</t>
  </si>
  <si>
    <t>Delivery Challan No</t>
  </si>
  <si>
    <t>Vehicle No</t>
  </si>
  <si>
    <t>Driver Name</t>
  </si>
  <si>
    <t>Factory Weight Tons</t>
  </si>
  <si>
    <t>ZKB Waight</t>
  </si>
  <si>
    <t>Net Waight Stock</t>
  </si>
  <si>
    <t>Lucky Cement  Loose Cement</t>
  </si>
  <si>
    <t>Tons</t>
  </si>
  <si>
    <t>GLTA-7767</t>
  </si>
  <si>
    <t>RIS-3291</t>
  </si>
  <si>
    <t>M.Yusuf</t>
  </si>
  <si>
    <t>TLR-192</t>
  </si>
  <si>
    <t>Shafqat</t>
  </si>
  <si>
    <t>TLM-403</t>
  </si>
  <si>
    <t>Yaseen</t>
  </si>
  <si>
    <t>Today Opening Balance before this date I have no any record</t>
  </si>
  <si>
    <t>TLM-404</t>
  </si>
  <si>
    <t>Afzal Ahmad</t>
  </si>
  <si>
    <t>TLM-436</t>
  </si>
  <si>
    <t>Munir Ahmed</t>
  </si>
  <si>
    <t>Qaim Khan</t>
  </si>
  <si>
    <t>TMF-332</t>
  </si>
  <si>
    <t>Asif Ali</t>
  </si>
  <si>
    <t>Steel Summary</t>
  </si>
  <si>
    <t>Cement Summary</t>
  </si>
  <si>
    <t>Cement</t>
  </si>
  <si>
    <t>Cement StockRemaing</t>
  </si>
  <si>
    <t>Note: All records related to cement are available from 10th July, 2025 onward. No data or documentation exists prior to this date.</t>
  </si>
  <si>
    <r>
      <rPr>
        <sz val="16"/>
        <color theme="1"/>
        <rFont val="Jameel Noori Nastaleeq"/>
      </rPr>
      <t>نوٹ: سیمنٹ سے متعلق تمام ریکارڈز 10 جولائی 2025 سے دستیاب ہیں۔ اس تاریخ سے پہلے کا کوئی ریکارڈ موجود نہیں ہے۔</t>
    </r>
    <r>
      <rPr>
        <sz val="11"/>
        <color theme="1"/>
        <rFont val="Calibri"/>
        <family val="2"/>
        <scheme val="minor"/>
      </rPr>
      <t xml:space="preserve">
</t>
    </r>
  </si>
  <si>
    <t>Remaining Steel Stock</t>
  </si>
  <si>
    <r>
      <rPr>
        <b/>
        <sz val="16"/>
        <color theme="1"/>
        <rFont val="Jameel Noori Nastaleeq"/>
      </rPr>
      <t>نوٹ:</t>
    </r>
    <r>
      <rPr>
        <sz val="16"/>
        <color theme="1"/>
        <rFont val="Jameel Noori Nastaleeq"/>
      </rPr>
      <t xml:space="preserve"> 24 جولائی 2025 سےپہلے استعمال شدہ اسٹیل کا کوئی ریکارڈ دستیاب نہیں ہے۔ لہٰذا تمام دستیاب ریکارڈز 24 جولائی 2025 کے بعد کے ہیں۔</t>
    </r>
  </si>
  <si>
    <t>Note: No record exists for steel usage prior to 24th July 2025. All available records pertain to usage after this date</t>
  </si>
  <si>
    <t>Total Steel Used</t>
  </si>
  <si>
    <t>Sikandar Ali  Kandiaro RD361+100</t>
  </si>
  <si>
    <t>Sadam Chandio Kandiaro RD 371+580</t>
  </si>
  <si>
    <t>Sadam Chandio Kandiaro RD 371+800</t>
  </si>
  <si>
    <t>Sadam Chandio RD 371+800</t>
  </si>
  <si>
    <t>Sadam RD 371+580 Kandiaro</t>
  </si>
  <si>
    <t>Abid RD 361+500 Kanddiaro</t>
  </si>
  <si>
    <t xml:space="preserve"> Steel Used
(KG)</t>
  </si>
  <si>
    <t>Steel_Used</t>
  </si>
  <si>
    <t>Steel_Received</t>
  </si>
  <si>
    <t>Size/Weight/Unit</t>
  </si>
  <si>
    <t>-</t>
  </si>
  <si>
    <t>Total Length</t>
  </si>
  <si>
    <t>Material</t>
  </si>
  <si>
    <t>Cement_Comsumed</t>
  </si>
  <si>
    <t>Cement_Received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</si>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</sst>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\ &quot;mm&quot;"/>
    <numFmt numFmtId="165" formatCode="[$-409]d\-mmm\-yyyy;@"/>
    <numFmt numFmtId="167" formatCode="0.0000"/>
    <numFmt numFmtId="169" formatCode="0.00\ &quot;Meter&quot;"/>
    <numFmt numFmtId="170" formatCode="0\ &quot;qty&quot;"/>
    <numFmt numFmtId="171" formatCode="0.00\ &quot;Kg&quot;"/>
    <numFmt numFmtId="172" formatCode="0.000\ &quot;Kg/m&quot;"/>
    <numFmt numFmtId="173" formatCode="0.00\ &quot;Ton&quot;"/>
    <numFmt numFmtId="174" formatCode="#,##0.00\ &quot;Kg&quot;"/>
    <numFmt numFmtId="175" formatCode="#"/>
    <numFmt numFmtId="176" formatCode="#,##0\ &quot;Kg&quot;"/>
    <numFmt numFmtId="177" formatCode="#,##0.00\ &quot;Cm&quot;"/>
    <numFmt numFmtId="182" formatCode="General&quot; Kg&quot;"/>
    <numFmt numFmtId="184" formatCode="####.##&quot; Kg&quot;"/>
  </numFmts>
  <fonts count="38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mbria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8"/>
      <name val="Cambria"/>
      <family val="1"/>
    </font>
    <font>
      <sz val="8"/>
      <name val="Calibri"/>
      <family val="2"/>
    </font>
    <font>
      <sz val="9"/>
      <name val="Calibri"/>
      <family val="2"/>
    </font>
    <font>
      <b/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4"/>
      <color theme="1"/>
      <name val="Cambria"/>
      <family val="1"/>
    </font>
    <font>
      <u/>
      <sz val="22"/>
      <color theme="1"/>
      <name val="Calibri"/>
      <family val="2"/>
      <scheme val="minor"/>
    </font>
    <font>
      <sz val="16"/>
      <color theme="1"/>
      <name val="Jameel Noori Nastaleeq"/>
    </font>
    <font>
      <b/>
      <sz val="12"/>
      <color theme="1"/>
      <name val="Calibri"/>
      <family val="2"/>
      <scheme val="minor"/>
    </font>
    <font>
      <b/>
      <sz val="16"/>
      <color theme="1"/>
      <name val="Jameel Noori Nastaleeq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mbria"/>
      <family val="1"/>
    </font>
    <font>
      <b/>
      <sz val="10"/>
      <name val="Calibri"/>
      <family val="2"/>
    </font>
    <font>
      <b/>
      <sz val="9"/>
      <name val="Calibri"/>
      <family val="2"/>
    </font>
    <font>
      <b/>
      <sz val="12"/>
      <name val="Calibri"/>
      <family val="2"/>
      <scheme val="minor"/>
    </font>
    <font>
      <b/>
      <sz val="12"/>
      <name val="Cambria"/>
      <family val="1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8"/>
      <color theme="1"/>
      <name val="Arial Black"/>
      <family val="2"/>
    </font>
    <font>
      <b/>
      <sz val="28"/>
      <color theme="1"/>
      <name val="Arial Black"/>
      <family val="2"/>
    </font>
    <font>
      <b/>
      <sz val="24"/>
      <color theme="1"/>
      <name val="Arial Black"/>
      <family val="2"/>
    </font>
    <font>
      <b/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slantDashDot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8"/>
      </right>
      <top/>
      <bottom style="medium">
        <color indexed="64"/>
      </bottom>
      <diagonal/>
    </border>
    <border>
      <left style="thin">
        <color theme="8"/>
      </left>
      <right style="thin">
        <color theme="8"/>
      </right>
      <top/>
      <bottom style="medium">
        <color indexed="64"/>
      </bottom>
      <diagonal/>
    </border>
    <border>
      <left style="thin">
        <color theme="8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3" fillId="0" borderId="1" xfId="0" applyFont="1" applyBorder="1"/>
    <xf numFmtId="0" fontId="2" fillId="4" borderId="1" xfId="0" applyFont="1" applyFill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2" xfId="0" applyFont="1" applyBorder="1"/>
    <xf numFmtId="0" fontId="2" fillId="0" borderId="0" xfId="0" applyFont="1" applyAlignment="1">
      <alignment wrapText="1"/>
    </xf>
    <xf numFmtId="0" fontId="3" fillId="4" borderId="3" xfId="0" applyFont="1" applyFill="1" applyBorder="1" applyAlignment="1">
      <alignment wrapText="1"/>
    </xf>
    <xf numFmtId="2" fontId="1" fillId="4" borderId="1" xfId="0" applyNumberFormat="1" applyFont="1" applyFill="1" applyBorder="1"/>
    <xf numFmtId="2" fontId="1" fillId="0" borderId="1" xfId="0" applyNumberFormat="1" applyFont="1" applyBorder="1"/>
    <xf numFmtId="2" fontId="0" fillId="0" borderId="1" xfId="0" applyNumberFormat="1" applyBorder="1"/>
    <xf numFmtId="0" fontId="4" fillId="0" borderId="1" xfId="0" applyFont="1" applyBorder="1" applyAlignment="1">
      <alignment wrapText="1"/>
    </xf>
    <xf numFmtId="0" fontId="1" fillId="3" borderId="1" xfId="0" applyFont="1" applyFill="1" applyBorder="1"/>
    <xf numFmtId="0" fontId="0" fillId="4" borderId="1" xfId="0" applyFill="1" applyBorder="1"/>
    <xf numFmtId="0" fontId="4" fillId="4" borderId="1" xfId="0" applyFont="1" applyFill="1" applyBorder="1" applyAlignment="1">
      <alignment wrapText="1"/>
    </xf>
    <xf numFmtId="0" fontId="5" fillId="5" borderId="0" xfId="0" applyFont="1" applyFill="1" applyAlignment="1">
      <alignment wrapText="1"/>
    </xf>
    <xf numFmtId="0" fontId="0" fillId="3" borderId="0" xfId="0" applyFill="1"/>
    <xf numFmtId="2" fontId="1" fillId="0" borderId="1" xfId="0" applyNumberFormat="1" applyFont="1" applyBorder="1" applyAlignment="1">
      <alignment wrapText="1"/>
    </xf>
    <xf numFmtId="0" fontId="0" fillId="5" borderId="0" xfId="0" applyFill="1"/>
    <xf numFmtId="0" fontId="5" fillId="5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centerContinuous"/>
    </xf>
    <xf numFmtId="0" fontId="2" fillId="0" borderId="4" xfId="0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5" xfId="0" quotePrefix="1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vertical="center"/>
    </xf>
    <xf numFmtId="0" fontId="0" fillId="0" borderId="7" xfId="0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11" fillId="0" borderId="10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165" fontId="10" fillId="8" borderId="8" xfId="0" applyNumberFormat="1" applyFont="1" applyFill="1" applyBorder="1" applyAlignment="1">
      <alignment horizontal="center" vertical="center"/>
    </xf>
    <xf numFmtId="165" fontId="19" fillId="8" borderId="8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0" fillId="0" borderId="0" xfId="0" applyFont="1" applyAlignment="1">
      <alignment horizontal="centerContinuous"/>
    </xf>
    <xf numFmtId="165" fontId="10" fillId="8" borderId="1" xfId="0" applyNumberFormat="1" applyFont="1" applyFill="1" applyBorder="1" applyAlignment="1">
      <alignment horizontal="center" vertical="center"/>
    </xf>
    <xf numFmtId="165" fontId="19" fillId="8" borderId="1" xfId="0" applyNumberFormat="1" applyFont="1" applyFill="1" applyBorder="1" applyAlignment="1">
      <alignment horizontal="center" vertical="center"/>
    </xf>
    <xf numFmtId="0" fontId="18" fillId="6" borderId="0" xfId="0" applyFont="1" applyFill="1"/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Continuous" vertical="center" wrapText="1"/>
    </xf>
    <xf numFmtId="0" fontId="2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2" fontId="22" fillId="7" borderId="17" xfId="0" applyNumberFormat="1" applyFont="1" applyFill="1" applyBorder="1" applyAlignment="1">
      <alignment horizontal="center" vertical="center"/>
    </xf>
    <xf numFmtId="2" fontId="22" fillId="7" borderId="17" xfId="0" applyNumberFormat="1" applyFont="1" applyFill="1" applyBorder="1" applyAlignment="1">
      <alignment horizontal="center" vertical="center" wrapText="1"/>
    </xf>
    <xf numFmtId="174" fontId="10" fillId="7" borderId="4" xfId="0" applyNumberFormat="1" applyFont="1" applyFill="1" applyBorder="1" applyAlignment="1">
      <alignment horizontal="center" vertical="center"/>
    </xf>
    <xf numFmtId="173" fontId="10" fillId="7" borderId="4" xfId="0" applyNumberFormat="1" applyFont="1" applyFill="1" applyBorder="1" applyAlignment="1">
      <alignment horizontal="center" vertical="center"/>
    </xf>
    <xf numFmtId="173" fontId="6" fillId="0" borderId="4" xfId="0" applyNumberFormat="1" applyFont="1" applyBorder="1" applyAlignment="1">
      <alignment vertical="center"/>
    </xf>
    <xf numFmtId="173" fontId="10" fillId="7" borderId="4" xfId="0" applyNumberFormat="1" applyFont="1" applyFill="1" applyBorder="1" applyAlignment="1">
      <alignment vertical="center"/>
    </xf>
    <xf numFmtId="4" fontId="11" fillId="0" borderId="7" xfId="0" applyNumberFormat="1" applyFon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1" fillId="0" borderId="16" xfId="0" applyFont="1" applyBorder="1" applyAlignment="1">
      <alignment horizontal="left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175" fontId="22" fillId="7" borderId="17" xfId="0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wrapText="1"/>
    </xf>
    <xf numFmtId="176" fontId="6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176" fontId="10" fillId="7" borderId="4" xfId="0" applyNumberFormat="1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10" fillId="7" borderId="21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174" fontId="10" fillId="7" borderId="4" xfId="0" applyNumberFormat="1" applyFont="1" applyFill="1" applyBorder="1" applyAlignment="1">
      <alignment horizontal="center" vertical="center"/>
    </xf>
    <xf numFmtId="173" fontId="10" fillId="7" borderId="4" xfId="0" applyNumberFormat="1" applyFont="1" applyFill="1" applyBorder="1" applyAlignment="1">
      <alignment horizontal="center" vertical="center"/>
    </xf>
    <xf numFmtId="0" fontId="0" fillId="0" borderId="0" xfId="0" applyBorder="1"/>
    <xf numFmtId="0" fontId="34" fillId="11" borderId="31" xfId="0" applyFont="1" applyFill="1" applyBorder="1" applyAlignment="1">
      <alignment horizontal="center"/>
    </xf>
    <xf numFmtId="0" fontId="34" fillId="11" borderId="33" xfId="0" applyFont="1" applyFill="1" applyBorder="1" applyAlignment="1">
      <alignment horizontal="center"/>
    </xf>
    <xf numFmtId="0" fontId="35" fillId="11" borderId="31" xfId="0" applyFont="1" applyFill="1" applyBorder="1" applyAlignment="1">
      <alignment horizontal="center" vertical="center"/>
    </xf>
    <xf numFmtId="0" fontId="35" fillId="11" borderId="32" xfId="0" applyFont="1" applyFill="1" applyBorder="1" applyAlignment="1">
      <alignment horizontal="center" vertical="center"/>
    </xf>
    <xf numFmtId="0" fontId="35" fillId="11" borderId="33" xfId="0" applyFont="1" applyFill="1" applyBorder="1" applyAlignment="1">
      <alignment horizontal="center" vertical="center"/>
    </xf>
    <xf numFmtId="0" fontId="34" fillId="11" borderId="24" xfId="0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 wrapText="1"/>
    </xf>
    <xf numFmtId="164" fontId="0" fillId="0" borderId="1" xfId="0" applyNumberFormat="1" applyFont="1" applyFill="1" applyBorder="1" applyAlignment="1">
      <alignment horizontal="center"/>
    </xf>
    <xf numFmtId="171" fontId="0" fillId="0" borderId="1" xfId="0" applyNumberFormat="1" applyFont="1" applyFill="1" applyBorder="1" applyAlignment="1">
      <alignment horizontal="center"/>
    </xf>
    <xf numFmtId="165" fontId="2" fillId="10" borderId="3" xfId="0" applyNumberFormat="1" applyFont="1" applyFill="1" applyBorder="1" applyAlignment="1">
      <alignment horizontal="center" vertical="center" wrapText="1"/>
    </xf>
    <xf numFmtId="164" fontId="0" fillId="10" borderId="3" xfId="0" applyNumberFormat="1" applyFont="1" applyFill="1" applyBorder="1" applyAlignment="1">
      <alignment horizontal="center" vertical="center"/>
    </xf>
    <xf numFmtId="169" fontId="0" fillId="10" borderId="3" xfId="0" applyNumberFormat="1" applyFont="1" applyFill="1" applyBorder="1" applyAlignment="1">
      <alignment horizontal="center" vertical="center"/>
    </xf>
    <xf numFmtId="170" fontId="0" fillId="10" borderId="3" xfId="0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9" fontId="0" fillId="3" borderId="1" xfId="0" applyNumberFormat="1" applyFont="1" applyFill="1" applyBorder="1" applyAlignment="1">
      <alignment horizontal="center" vertical="center"/>
    </xf>
    <xf numFmtId="170" fontId="0" fillId="3" borderId="1" xfId="0" applyNumberFormat="1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center" vertical="center" wrapText="1"/>
    </xf>
    <xf numFmtId="164" fontId="0" fillId="10" borderId="1" xfId="0" applyNumberFormat="1" applyFont="1" applyFill="1" applyBorder="1" applyAlignment="1">
      <alignment horizontal="center" vertical="center"/>
    </xf>
    <xf numFmtId="169" fontId="0" fillId="10" borderId="1" xfId="0" applyNumberFormat="1" applyFont="1" applyFill="1" applyBorder="1" applyAlignment="1">
      <alignment horizontal="center" vertical="center"/>
    </xf>
    <xf numFmtId="170" fontId="0" fillId="10" borderId="1" xfId="0" applyNumberFormat="1" applyFont="1" applyFill="1" applyBorder="1" applyAlignment="1">
      <alignment horizontal="center" vertical="center"/>
    </xf>
    <xf numFmtId="165" fontId="0" fillId="3" borderId="1" xfId="0" applyNumberFormat="1" applyFont="1" applyFill="1" applyBorder="1" applyAlignment="1">
      <alignment horizontal="center" vertical="center"/>
    </xf>
    <xf numFmtId="165" fontId="0" fillId="10" borderId="1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5" fontId="2" fillId="0" borderId="29" xfId="0" applyNumberFormat="1" applyFont="1" applyFill="1" applyBorder="1" applyAlignment="1">
      <alignment horizontal="center" wrapText="1"/>
    </xf>
    <xf numFmtId="164" fontId="0" fillId="0" borderId="29" xfId="0" applyNumberFormat="1" applyFont="1" applyFill="1" applyBorder="1" applyAlignment="1">
      <alignment horizontal="center"/>
    </xf>
    <xf numFmtId="171" fontId="0" fillId="0" borderId="29" xfId="0" applyNumberFormat="1" applyFont="1" applyFill="1" applyBorder="1" applyAlignment="1">
      <alignment horizontal="center"/>
    </xf>
    <xf numFmtId="165" fontId="2" fillId="0" borderId="3" xfId="0" applyNumberFormat="1" applyFont="1" applyFill="1" applyBorder="1" applyAlignment="1">
      <alignment horizontal="center" wrapText="1"/>
    </xf>
    <xf numFmtId="164" fontId="0" fillId="0" borderId="3" xfId="0" applyNumberFormat="1" applyFont="1" applyFill="1" applyBorder="1" applyAlignment="1">
      <alignment horizontal="center"/>
    </xf>
    <xf numFmtId="172" fontId="0" fillId="3" borderId="3" xfId="0" applyNumberFormat="1" applyFill="1" applyBorder="1" applyAlignment="1">
      <alignment horizontal="center"/>
    </xf>
    <xf numFmtId="171" fontId="0" fillId="0" borderId="3" xfId="0" applyNumberFormat="1" applyFont="1" applyFill="1" applyBorder="1" applyAlignment="1">
      <alignment horizontal="center"/>
    </xf>
    <xf numFmtId="171" fontId="0" fillId="3" borderId="3" xfId="0" applyNumberFormat="1" applyFill="1" applyBorder="1" applyAlignment="1">
      <alignment horizontal="center"/>
    </xf>
    <xf numFmtId="0" fontId="25" fillId="9" borderId="23" xfId="0" applyFont="1" applyFill="1" applyBorder="1" applyAlignment="1">
      <alignment horizontal="center" vertical="center"/>
    </xf>
    <xf numFmtId="0" fontId="25" fillId="9" borderId="25" xfId="0" applyFont="1" applyFill="1" applyBorder="1" applyAlignment="1">
      <alignment horizontal="center" vertical="center"/>
    </xf>
    <xf numFmtId="0" fontId="25" fillId="9" borderId="37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0" fillId="11" borderId="31" xfId="0" applyFont="1" applyFill="1" applyBorder="1" applyAlignment="1">
      <alignment horizontal="center"/>
    </xf>
    <xf numFmtId="0" fontId="10" fillId="11" borderId="32" xfId="0" applyFont="1" applyFill="1" applyBorder="1" applyAlignment="1">
      <alignment horizontal="center"/>
    </xf>
    <xf numFmtId="0" fontId="10" fillId="11" borderId="33" xfId="0" applyFont="1" applyFill="1" applyBorder="1" applyAlignment="1">
      <alignment horizontal="center"/>
    </xf>
    <xf numFmtId="172" fontId="0" fillId="0" borderId="3" xfId="0" applyNumberFormat="1" applyBorder="1" applyAlignment="1">
      <alignment horizontal="center" vertical="center"/>
    </xf>
    <xf numFmtId="169" fontId="0" fillId="3" borderId="39" xfId="0" applyNumberFormat="1" applyFont="1" applyFill="1" applyBorder="1" applyAlignment="1">
      <alignment horizontal="center" vertical="center"/>
    </xf>
    <xf numFmtId="182" fontId="0" fillId="0" borderId="3" xfId="0" applyNumberFormat="1" applyBorder="1" applyAlignment="1">
      <alignment horizontal="center" vertical="center"/>
    </xf>
    <xf numFmtId="184" fontId="0" fillId="0" borderId="3" xfId="0" applyNumberFormat="1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77" fontId="0" fillId="12" borderId="1" xfId="0" applyNumberFormat="1" applyFont="1" applyFill="1" applyBorder="1" applyAlignment="1">
      <alignment horizontal="center" vertical="center"/>
    </xf>
    <xf numFmtId="177" fontId="0" fillId="3" borderId="1" xfId="0" applyNumberFormat="1" applyFont="1" applyFill="1" applyBorder="1" applyAlignment="1">
      <alignment horizontal="center" vertical="center"/>
    </xf>
    <xf numFmtId="165" fontId="0" fillId="12" borderId="1" xfId="0" applyNumberFormat="1" applyFont="1" applyFill="1" applyBorder="1" applyAlignment="1">
      <alignment horizontal="center" vertical="center"/>
    </xf>
    <xf numFmtId="165" fontId="0" fillId="12" borderId="35" xfId="0" applyNumberFormat="1" applyFont="1" applyFill="1" applyBorder="1" applyAlignment="1">
      <alignment horizontal="center" vertical="center"/>
    </xf>
    <xf numFmtId="0" fontId="0" fillId="12" borderId="35" xfId="0" applyFont="1" applyFill="1" applyBorder="1" applyAlignment="1">
      <alignment horizontal="center" vertical="center"/>
    </xf>
    <xf numFmtId="177" fontId="0" fillId="12" borderId="35" xfId="0" applyNumberFormat="1" applyFont="1" applyFill="1" applyBorder="1" applyAlignment="1">
      <alignment horizontal="center" vertical="center"/>
    </xf>
    <xf numFmtId="182" fontId="0" fillId="0" borderId="35" xfId="0" applyNumberFormat="1" applyBorder="1" applyAlignment="1">
      <alignment horizontal="center" vertical="center"/>
    </xf>
    <xf numFmtId="0" fontId="36" fillId="11" borderId="40" xfId="0" applyFont="1" applyFill="1" applyBorder="1" applyAlignment="1">
      <alignment horizontal="center" vertical="center"/>
    </xf>
    <xf numFmtId="0" fontId="36" fillId="11" borderId="24" xfId="0" applyFont="1" applyFill="1" applyBorder="1" applyAlignment="1">
      <alignment horizontal="center" vertical="center"/>
    </xf>
    <xf numFmtId="0" fontId="36" fillId="11" borderId="41" xfId="0" applyFont="1" applyFill="1" applyBorder="1" applyAlignment="1">
      <alignment horizontal="center" vertical="center"/>
    </xf>
    <xf numFmtId="0" fontId="36" fillId="11" borderId="40" xfId="0" applyFont="1" applyFill="1" applyBorder="1" applyAlignment="1">
      <alignment horizontal="center"/>
    </xf>
    <xf numFmtId="0" fontId="36" fillId="11" borderId="24" xfId="0" applyFont="1" applyFill="1" applyBorder="1" applyAlignment="1">
      <alignment horizontal="center"/>
    </xf>
    <xf numFmtId="0" fontId="36" fillId="11" borderId="41" xfId="0" applyFont="1" applyFill="1" applyBorder="1" applyAlignment="1">
      <alignment horizontal="center"/>
    </xf>
    <xf numFmtId="165" fontId="8" fillId="0" borderId="35" xfId="0" applyNumberFormat="1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/>
    </xf>
    <xf numFmtId="0" fontId="0" fillId="12" borderId="42" xfId="0" applyFont="1" applyFill="1" applyBorder="1" applyAlignment="1">
      <alignment horizontal="center" vertical="center"/>
    </xf>
    <xf numFmtId="0" fontId="0" fillId="3" borderId="43" xfId="0" applyFont="1" applyFill="1" applyBorder="1" applyAlignment="1">
      <alignment horizontal="center" vertical="center"/>
    </xf>
    <xf numFmtId="0" fontId="0" fillId="12" borderId="43" xfId="0" applyFont="1" applyFill="1" applyBorder="1" applyAlignment="1">
      <alignment horizontal="center" vertical="center"/>
    </xf>
    <xf numFmtId="0" fontId="0" fillId="12" borderId="38" xfId="0" applyFont="1" applyFill="1" applyBorder="1" applyAlignment="1">
      <alignment horizontal="center" vertical="center"/>
    </xf>
    <xf numFmtId="0" fontId="0" fillId="3" borderId="45" xfId="0" applyFont="1" applyFill="1" applyBorder="1" applyAlignment="1">
      <alignment horizontal="center" vertical="center"/>
    </xf>
    <xf numFmtId="0" fontId="0" fillId="12" borderId="45" xfId="0" applyFont="1" applyFill="1" applyBorder="1" applyAlignment="1">
      <alignment horizontal="center" vertical="center"/>
    </xf>
    <xf numFmtId="0" fontId="26" fillId="9" borderId="46" xfId="0" applyFont="1" applyFill="1" applyBorder="1" applyAlignment="1">
      <alignment horizontal="center" vertical="center"/>
    </xf>
    <xf numFmtId="165" fontId="26" fillId="9" borderId="11" xfId="0" applyNumberFormat="1" applyFont="1" applyFill="1" applyBorder="1" applyAlignment="1">
      <alignment horizontal="center" vertical="center"/>
    </xf>
    <xf numFmtId="0" fontId="26" fillId="9" borderId="11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 wrapText="1"/>
    </xf>
    <xf numFmtId="177" fontId="27" fillId="9" borderId="11" xfId="0" applyNumberFormat="1" applyFont="1" applyFill="1" applyBorder="1" applyAlignment="1">
      <alignment horizontal="center" vertical="center" wrapText="1"/>
    </xf>
    <xf numFmtId="0" fontId="26" fillId="9" borderId="11" xfId="0" applyFont="1" applyFill="1" applyBorder="1" applyAlignment="1">
      <alignment horizontal="center" vertical="center" wrapText="1"/>
    </xf>
    <xf numFmtId="0" fontId="26" fillId="9" borderId="12" xfId="0" applyFont="1" applyFill="1" applyBorder="1" applyAlignment="1">
      <alignment horizontal="center" vertical="center"/>
    </xf>
    <xf numFmtId="0" fontId="0" fillId="3" borderId="47" xfId="0" applyFont="1" applyFill="1" applyBorder="1" applyAlignment="1">
      <alignment horizontal="center" vertical="center"/>
    </xf>
    <xf numFmtId="165" fontId="0" fillId="3" borderId="8" xfId="0" applyNumberFormat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177" fontId="0" fillId="3" borderId="8" xfId="0" applyNumberFormat="1" applyFont="1" applyFill="1" applyBorder="1" applyAlignment="1">
      <alignment horizontal="center" vertical="center"/>
    </xf>
    <xf numFmtId="182" fontId="0" fillId="0" borderId="2" xfId="0" applyNumberFormat="1" applyBorder="1" applyAlignment="1">
      <alignment horizontal="center" vertical="center"/>
    </xf>
    <xf numFmtId="0" fontId="0" fillId="3" borderId="48" xfId="0" applyFont="1" applyFill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28" fillId="9" borderId="46" xfId="0" applyFont="1" applyFill="1" applyBorder="1" applyAlignment="1">
      <alignment horizontal="center" vertical="center"/>
    </xf>
    <xf numFmtId="165" fontId="29" fillId="9" borderId="11" xfId="0" applyNumberFormat="1" applyFont="1" applyFill="1" applyBorder="1" applyAlignment="1">
      <alignment horizontal="center" vertical="center"/>
    </xf>
    <xf numFmtId="0" fontId="28" fillId="9" borderId="11" xfId="0" applyFont="1" applyFill="1" applyBorder="1" applyAlignment="1">
      <alignment horizontal="center" vertical="center"/>
    </xf>
    <xf numFmtId="0" fontId="28" fillId="9" borderId="11" xfId="0" applyFont="1" applyFill="1" applyBorder="1" applyAlignment="1">
      <alignment horizontal="center" vertical="center" wrapText="1"/>
    </xf>
    <xf numFmtId="0" fontId="37" fillId="9" borderId="12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5" fillId="10" borderId="50" xfId="0" applyFont="1" applyFill="1" applyBorder="1" applyAlignment="1">
      <alignment horizontal="center" vertical="center"/>
    </xf>
    <xf numFmtId="0" fontId="25" fillId="3" borderId="51" xfId="0" applyFont="1" applyFill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/>
    </xf>
    <xf numFmtId="0" fontId="32" fillId="3" borderId="51" xfId="0" applyFont="1" applyFill="1" applyBorder="1" applyAlignment="1">
      <alignment horizontal="center" vertical="center"/>
    </xf>
    <xf numFmtId="0" fontId="32" fillId="10" borderId="51" xfId="0" applyFont="1" applyFill="1" applyBorder="1" applyAlignment="1">
      <alignment horizontal="center" vertical="center"/>
    </xf>
    <xf numFmtId="0" fontId="30" fillId="9" borderId="52" xfId="0" applyFont="1" applyFill="1" applyBorder="1" applyAlignment="1">
      <alignment horizontal="center" vertical="center"/>
    </xf>
    <xf numFmtId="165" fontId="31" fillId="9" borderId="53" xfId="0" applyNumberFormat="1" applyFont="1" applyFill="1" applyBorder="1" applyAlignment="1">
      <alignment horizontal="center" vertical="center" wrapText="1"/>
    </xf>
    <xf numFmtId="0" fontId="31" fillId="9" borderId="53" xfId="0" applyFont="1" applyFill="1" applyBorder="1" applyAlignment="1">
      <alignment horizontal="center" vertical="center" wrapText="1"/>
    </xf>
    <xf numFmtId="0" fontId="31" fillId="9" borderId="54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3" borderId="8" xfId="0" applyNumberFormat="1" applyFont="1" applyFill="1" applyBorder="1" applyAlignment="1">
      <alignment horizontal="center" vertical="center"/>
    </xf>
    <xf numFmtId="172" fontId="0" fillId="0" borderId="2" xfId="0" applyNumberFormat="1" applyBorder="1" applyAlignment="1">
      <alignment horizontal="center" vertical="center"/>
    </xf>
    <xf numFmtId="169" fontId="0" fillId="3" borderId="8" xfId="0" applyNumberFormat="1" applyFont="1" applyFill="1" applyBorder="1" applyAlignment="1">
      <alignment horizontal="center" vertical="center"/>
    </xf>
    <xf numFmtId="170" fontId="0" fillId="3" borderId="8" xfId="0" applyNumberFormat="1" applyFont="1" applyFill="1" applyBorder="1" applyAlignment="1">
      <alignment horizontal="center" vertical="center"/>
    </xf>
    <xf numFmtId="169" fontId="0" fillId="3" borderId="55" xfId="0" applyNumberFormat="1" applyFont="1" applyFill="1" applyBorder="1" applyAlignment="1">
      <alignment horizontal="center" vertical="center"/>
    </xf>
    <xf numFmtId="184" fontId="0" fillId="0" borderId="8" xfId="0" applyNumberFormat="1" applyBorder="1" applyAlignment="1">
      <alignment horizontal="center" vertical="center"/>
    </xf>
    <xf numFmtId="0" fontId="25" fillId="3" borderId="22" xfId="0" applyFont="1" applyFill="1" applyBorder="1" applyAlignment="1">
      <alignment horizontal="center" vertical="center"/>
    </xf>
    <xf numFmtId="0" fontId="0" fillId="3" borderId="49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3" fillId="3" borderId="39" xfId="0" applyFont="1" applyFill="1" applyBorder="1" applyAlignment="1">
      <alignment horizontal="center" wrapText="1"/>
    </xf>
    <xf numFmtId="0" fontId="30" fillId="9" borderId="46" xfId="0" applyFont="1" applyFill="1" applyBorder="1" applyAlignment="1">
      <alignment horizontal="center" vertical="center"/>
    </xf>
    <xf numFmtId="165" fontId="31" fillId="9" borderId="11" xfId="0" applyNumberFormat="1" applyFont="1" applyFill="1" applyBorder="1" applyAlignment="1">
      <alignment horizontal="center" vertical="center" wrapText="1"/>
    </xf>
    <xf numFmtId="0" fontId="31" fillId="9" borderId="11" xfId="0" applyFont="1" applyFill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/>
    </xf>
    <xf numFmtId="0" fontId="33" fillId="13" borderId="56" xfId="0" applyFont="1" applyFill="1" applyBorder="1" applyAlignment="1">
      <alignment horizontal="center" vertical="center"/>
    </xf>
    <xf numFmtId="0" fontId="33" fillId="13" borderId="0" xfId="0" applyFont="1" applyFill="1" applyBorder="1" applyAlignment="1">
      <alignment horizontal="center" vertical="center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0.00\ &quot;Kg&quot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numFmt numFmtId="171" formatCode="0.00\ &quot;Kg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72" formatCode="0.000\ &quot;Kg/m&quot;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\ &quot;mm&quot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65" formatCode="[$-409]d\-mmm\-yyyy;@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84" formatCode="####.##&quot; Kg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0\ &quot;Meter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0\ &quot;qty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0\ &quot;Meter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2" formatCode="0.000\ &quot;Kg/m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\ &quot;mm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82" formatCode="General&quot; Kg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mbria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82" formatCode="General&quot; Kg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#,##0.00\ &quot;Cm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9525</xdr:rowOff>
    </xdr:from>
    <xdr:to>
      <xdr:col>1</xdr:col>
      <xdr:colOff>66675</xdr:colOff>
      <xdr:row>4</xdr:row>
      <xdr:rowOff>9526</xdr:rowOff>
    </xdr:to>
    <xdr:pic>
      <xdr:nvPicPr>
        <xdr:cNvPr id="3" name="Graphic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00025"/>
          <a:ext cx="628650" cy="571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9525</xdr:rowOff>
    </xdr:from>
    <xdr:to>
      <xdr:col>1</xdr:col>
      <xdr:colOff>133350</xdr:colOff>
      <xdr:row>4</xdr:row>
      <xdr:rowOff>9526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00025"/>
          <a:ext cx="628650" cy="5715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9525</xdr:rowOff>
    </xdr:from>
    <xdr:to>
      <xdr:col>1</xdr:col>
      <xdr:colOff>161925</xdr:colOff>
      <xdr:row>5</xdr:row>
      <xdr:rowOff>9526</xdr:rowOff>
    </xdr:to>
    <xdr:pic>
      <xdr:nvPicPr>
        <xdr:cNvPr id="3" name="Graphic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00025"/>
          <a:ext cx="628650" cy="5715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9525</xdr:rowOff>
    </xdr:from>
    <xdr:to>
      <xdr:col>1</xdr:col>
      <xdr:colOff>209550</xdr:colOff>
      <xdr:row>5</xdr:row>
      <xdr:rowOff>9526</xdr:rowOff>
    </xdr:to>
    <xdr:pic>
      <xdr:nvPicPr>
        <xdr:cNvPr id="3" name="Graphic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390525"/>
          <a:ext cx="628650" cy="5715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9525</xdr:rowOff>
    </xdr:from>
    <xdr:to>
      <xdr:col>1</xdr:col>
      <xdr:colOff>161925</xdr:colOff>
      <xdr:row>5</xdr:row>
      <xdr:rowOff>9526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390525"/>
          <a:ext cx="628650" cy="5715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142875</xdr:rowOff>
    </xdr:from>
    <xdr:to>
      <xdr:col>1</xdr:col>
      <xdr:colOff>266700</xdr:colOff>
      <xdr:row>4</xdr:row>
      <xdr:rowOff>142876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333375"/>
          <a:ext cx="628650" cy="5715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7D4634-F1F6-4449-A26D-6847A4AF15D4}" name="Table10" displayName="Table10" ref="A2:H74" totalsRowShown="0" headerRowBorderDxfId="44" tableBorderDxfId="45">
  <autoFilter ref="A2:H74" xr:uid="{0D7D4634-F1F6-4449-A26D-6847A4AF15D4}"/>
  <tableColumns count="8">
    <tableColumn id="1" xr3:uid="{83C4CB0F-EBC2-4F5D-8A4D-38DC9C7420BC}" name="S.No" dataDxfId="43"/>
    <tableColumn id="2" xr3:uid="{D850DBDD-8DAD-4BA9-8D88-CF3A85A11BCC}" name="Date" dataDxfId="42"/>
    <tableColumn id="3" xr3:uid="{AA273588-B979-4240-8B60-D1E6D4B60581}" name="Class " dataDxfId="41"/>
    <tableColumn id="4" xr3:uid="{4EC1EF18-52A7-4B93-9A05-5CB609BE400A}" name="Material" dataDxfId="40"/>
    <tableColumn id="5" xr3:uid="{118A0FE5-462B-44AC-AE43-2FA6067CF982}" name="Standard Volume cement consume (Per CF)" dataDxfId="39"/>
    <tableColumn id="6" xr3:uid="{85332B0F-CAD2-49A1-B1F7-E3C40856DE8D}" name="Total Cubic meter (Consumed)" dataDxfId="38"/>
    <tableColumn id="7" xr3:uid="{71E5B437-E557-4123-8E0D-B5B2A980E114}" name="Cement Consumed" dataDxfId="37">
      <calculatedColumnFormula>IF(AND(D3="",E3=""),"-",F3*E3)</calculatedColumnFormula>
    </tableColumn>
    <tableColumn id="8" xr3:uid="{4C756371-A92B-426B-AC53-CC14F584D881}" name="Remarks" dataDxfId="3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5E9A938-2B22-46CF-BA4A-E5AA98A85D64}" name="Table11" displayName="Table11" ref="J2:W12" totalsRowShown="0" headerRowDxfId="22" headerRowBorderDxfId="34" tableBorderDxfId="35">
  <autoFilter ref="J2:W12" xr:uid="{F5E9A938-2B22-46CF-BA4A-E5AA98A85D64}"/>
  <tableColumns count="14">
    <tableColumn id="1" xr3:uid="{154BC0EB-992D-44A9-8D46-F955134C9076}" name="S.No" dataDxfId="33"/>
    <tableColumn id="2" xr3:uid="{0E799371-0C40-4785-A1D3-ABD9DF485967}" name="Date" dataDxfId="32"/>
    <tableColumn id="3" xr3:uid="{A45EE7B6-6D83-4F66-8EAA-D87D41756078}" name="Description" dataDxfId="31"/>
    <tableColumn id="4" xr3:uid="{732501DF-E14E-41FA-91B5-F11ED49E9C2B}" name="Unit" dataDxfId="30"/>
    <tableColumn id="5" xr3:uid="{C0BEB993-23CB-46B0-9A46-E5F2CFBA51E4}" name="Order No" dataDxfId="29"/>
    <tableColumn id="6" xr3:uid="{19FBA003-7670-4790-9625-464DF33A7AEA}" name="Delivery Challan No" dataDxfId="28"/>
    <tableColumn id="7" xr3:uid="{F136900F-7E53-4DCA-A84D-66575637CFA1}" name="Received"/>
    <tableColumn id="8" xr3:uid="{72A4CD42-212E-4C02-A396-B23FEFB58DD2}" name="Vehicle No" dataDxfId="27"/>
    <tableColumn id="9" xr3:uid="{C90EF98C-E63D-4EE9-8EA0-8A03D4B166B9}" name="Driver Name" dataDxfId="26"/>
    <tableColumn id="10" xr3:uid="{204BF2DF-4CAB-4024-8B1E-C5052F7BA4A3}" name="Factory Weight Tons" dataDxfId="25"/>
    <tableColumn id="11" xr3:uid="{80481804-6E9E-4062-AE57-DB167C4EB761}" name="ZKB Waight"/>
    <tableColumn id="12" xr3:uid="{53C572A4-C9DB-4A36-9494-7B237C4C7E4E}" name="Net Waight Stock"/>
    <tableColumn id="13" xr3:uid="{4372A0D5-9AE5-444D-AF5E-A68F8E375174}" name="KG" dataDxfId="24">
      <calculatedColumnFormula>U3*1000</calculatedColumnFormula>
    </tableColumn>
    <tableColumn id="14" xr3:uid="{A28A0B72-C328-4EA6-B68F-6068D1C8AEF6}" name="Remarks" dataDxfId="2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705B908-C115-425E-B0E2-B4FECDD3F206}" name="Table12" displayName="Table12" ref="A2:I14" totalsRowShown="0" headerRowDxfId="10" headerRowBorderDxfId="20" tableBorderDxfId="21">
  <autoFilter ref="A2:I14" xr:uid="{B705B908-C115-425E-B0E2-B4FECDD3F206}"/>
  <tableColumns count="9">
    <tableColumn id="1" xr3:uid="{1BA35E78-B889-4015-B445-EF6D13712C15}" name="S.No" dataDxfId="19"/>
    <tableColumn id="2" xr3:uid="{CDFA019E-6DC7-4D09-81AD-012467C30A74}" name="Date" dataDxfId="18"/>
    <tableColumn id="3" xr3:uid="{99410EB2-C53F-4817-AD18-75808C32F315}" name="Steel Bar Size" dataDxfId="17"/>
    <tableColumn id="4" xr3:uid="{B330EA7A-8F10-4B20-84A1-D7B85AEE3835}" name="Weight" dataDxfId="16">
      <calculatedColumnFormula>VLOOKUP(C3,$D$32:$F$36,2,0)</calculatedColumnFormula>
    </tableColumn>
    <tableColumn id="5" xr3:uid="{82F25DB5-195C-4765-A87F-B16FD16D0EC3}" name="Length of bar" dataDxfId="15"/>
    <tableColumn id="6" xr3:uid="{B0EC256A-30C5-4F16-9080-3C131B40C747}" name="Qty Consumed" dataDxfId="14"/>
    <tableColumn id="7" xr3:uid="{1F757F55-A02F-444F-B05A-05054D511A2E}" name="Total Length" dataDxfId="13">
      <calculatedColumnFormula>IF(E3="","-",E3)</calculatedColumnFormula>
    </tableColumn>
    <tableColumn id="8" xr3:uid="{43D24A6B-464A-4C2B-945B-7B8D4882CF26}" name="Total Consumed" dataDxfId="12">
      <calculatedColumnFormula>IF(E3="","-",E3*D3)</calculatedColumnFormula>
    </tableColumn>
    <tableColumn id="9" xr3:uid="{1D3758A8-E8D4-4424-A27D-D8EA3BB7A9AC}" name="Remarks" data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D4949AF-6F18-4271-8175-12981C345551}" name="Table13" displayName="Table13" ref="B17:H28" totalsRowShown="0" headerRowDxfId="1" headerRowBorderDxfId="8" tableBorderDxfId="9">
  <autoFilter ref="B17:H28" xr:uid="{0D4949AF-6F18-4271-8175-12981C345551}"/>
  <tableColumns count="7">
    <tableColumn id="1" xr3:uid="{B1801764-BB9F-4767-B800-3446B24B9765}" name="S.No" dataDxfId="7"/>
    <tableColumn id="2" xr3:uid="{F8A5CC59-BCB5-4616-B52B-C17C1B7EB380}" name="Date" dataDxfId="6"/>
    <tableColumn id="3" xr3:uid="{E58DC346-8FF6-48E8-A1D1-5370A4E2B5B6}" name="Steel Bar Size" dataDxfId="5"/>
    <tableColumn id="4" xr3:uid="{06F37F0A-3838-4ADA-8149-F45241611EBD}" name="Weight" dataDxfId="4">
      <calculatedColumnFormula>VLOOKUP(D18,$D$32:$F$36,2,0)</calculatedColumnFormula>
    </tableColumn>
    <tableColumn id="5" xr3:uid="{BB7732A0-FFD3-45C9-B8FC-4B6604178CD2}" name="Total Steel Received" dataDxfId="0"/>
    <tableColumn id="6" xr3:uid="{82DC9019-AFE9-4139-BDDD-2DD3D7A07256}" name="Total Steel Received Ton" dataDxfId="3">
      <calculatedColumnFormula>IF(F18="","-",F18/1000)</calculatedColumnFormula>
    </tableColumn>
    <tableColumn id="7" xr3:uid="{3897A309-E3AA-4245-B80F-2F736969A7D6}" name="Remark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8"/>
  <sheetViews>
    <sheetView workbookViewId="0">
      <selection activeCell="I11" sqref="I11"/>
    </sheetView>
  </sheetViews>
  <sheetFormatPr defaultRowHeight="15"/>
  <cols>
    <col min="1" max="1" width="11.28515625" customWidth="1"/>
    <col min="2" max="2" width="10.5703125" customWidth="1"/>
    <col min="3" max="3" width="11.28515625" customWidth="1"/>
    <col min="4" max="4" width="10.42578125" customWidth="1"/>
    <col min="5" max="5" width="10.7109375" customWidth="1"/>
    <col min="6" max="6" width="8.5703125" customWidth="1"/>
    <col min="7" max="7" width="9.5703125" customWidth="1"/>
    <col min="8" max="8" width="8.5703125" customWidth="1"/>
  </cols>
  <sheetData>
    <row r="2" spans="1:10">
      <c r="C2" s="1" t="s">
        <v>3</v>
      </c>
      <c r="D2" s="1"/>
      <c r="E2" s="1"/>
      <c r="F2" s="1"/>
    </row>
    <row r="3" spans="1:10">
      <c r="C3" t="s">
        <v>7</v>
      </c>
      <c r="D3" s="1" t="s">
        <v>4</v>
      </c>
      <c r="E3" s="1"/>
      <c r="F3" s="1"/>
      <c r="G3" s="1"/>
    </row>
    <row r="4" spans="1:10">
      <c r="D4" s="1" t="s">
        <v>6</v>
      </c>
      <c r="E4" s="1"/>
    </row>
    <row r="5" spans="1:10" ht="26.25">
      <c r="A5" s="5" t="s">
        <v>14</v>
      </c>
      <c r="B5" s="5" t="s">
        <v>0</v>
      </c>
      <c r="C5" s="5" t="s">
        <v>1</v>
      </c>
      <c r="D5" s="5" t="s">
        <v>13</v>
      </c>
      <c r="E5" s="5" t="s">
        <v>5</v>
      </c>
      <c r="F5" s="5" t="s">
        <v>12</v>
      </c>
      <c r="G5" s="5" t="s">
        <v>11</v>
      </c>
      <c r="H5" s="6" t="s">
        <v>2</v>
      </c>
      <c r="J5" s="2"/>
    </row>
    <row r="6" spans="1:10" ht="39">
      <c r="A6" s="3" t="s">
        <v>8</v>
      </c>
      <c r="B6" s="7">
        <v>5085</v>
      </c>
      <c r="C6" s="7">
        <v>91642</v>
      </c>
      <c r="D6" s="7">
        <v>5009</v>
      </c>
      <c r="E6" s="7">
        <v>24829</v>
      </c>
      <c r="F6" s="7">
        <v>29975</v>
      </c>
      <c r="G6" s="11">
        <v>156540</v>
      </c>
      <c r="H6" s="10" t="s">
        <v>16</v>
      </c>
      <c r="J6" s="2">
        <f>SUM(B6:F6)</f>
        <v>156540</v>
      </c>
    </row>
    <row r="7" spans="1:10" ht="30" customHeight="1">
      <c r="A7" s="3" t="s">
        <v>9</v>
      </c>
      <c r="B7" s="4">
        <v>0</v>
      </c>
      <c r="C7" s="4">
        <v>31500</v>
      </c>
      <c r="D7" s="4">
        <v>0</v>
      </c>
      <c r="E7" s="4">
        <v>9011</v>
      </c>
      <c r="F7" s="4">
        <v>6839</v>
      </c>
      <c r="G7" s="8">
        <v>47350</v>
      </c>
      <c r="H7" s="10" t="s">
        <v>17</v>
      </c>
    </row>
    <row r="8" spans="1:10" ht="39">
      <c r="A8" s="3" t="s">
        <v>10</v>
      </c>
      <c r="B8" s="8">
        <v>5085</v>
      </c>
      <c r="C8" s="8">
        <v>60142</v>
      </c>
      <c r="D8" s="8">
        <v>5009</v>
      </c>
      <c r="E8" s="8">
        <v>15818</v>
      </c>
      <c r="F8" s="8">
        <v>23136</v>
      </c>
      <c r="G8" s="8">
        <v>109190</v>
      </c>
      <c r="H8" s="9" t="s">
        <v>15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"/>
  <sheetViews>
    <sheetView workbookViewId="0">
      <selection activeCell="I11" sqref="I11"/>
    </sheetView>
  </sheetViews>
  <sheetFormatPr defaultRowHeight="15"/>
  <cols>
    <col min="1" max="1" width="10.28515625" customWidth="1"/>
    <col min="3" max="3" width="10.28515625" customWidth="1"/>
    <col min="7" max="7" width="10.140625" customWidth="1"/>
  </cols>
  <sheetData>
    <row r="2" spans="1:9">
      <c r="C2" s="1" t="s">
        <v>3</v>
      </c>
      <c r="D2" s="1"/>
      <c r="E2" s="1"/>
      <c r="F2" s="1"/>
    </row>
    <row r="3" spans="1:9">
      <c r="C3" t="s">
        <v>7</v>
      </c>
      <c r="D3" s="1" t="s">
        <v>4</v>
      </c>
      <c r="E3" s="1"/>
      <c r="F3" s="1"/>
      <c r="G3" s="1"/>
    </row>
    <row r="4" spans="1:9">
      <c r="D4" s="1" t="s">
        <v>6</v>
      </c>
      <c r="E4" s="1"/>
    </row>
    <row r="5" spans="1:9" ht="26.25">
      <c r="A5" s="5" t="s">
        <v>18</v>
      </c>
      <c r="B5" s="5" t="s">
        <v>0</v>
      </c>
      <c r="C5" s="5" t="s">
        <v>1</v>
      </c>
      <c r="D5" s="5" t="s">
        <v>13</v>
      </c>
      <c r="E5" s="5" t="s">
        <v>5</v>
      </c>
      <c r="F5" s="5" t="s">
        <v>12</v>
      </c>
      <c r="G5" s="5" t="s">
        <v>11</v>
      </c>
      <c r="H5" s="6" t="s">
        <v>2</v>
      </c>
    </row>
    <row r="6" spans="1:9" ht="39.75" customHeight="1">
      <c r="A6" s="3" t="s">
        <v>8</v>
      </c>
      <c r="B6" s="8">
        <v>5085</v>
      </c>
      <c r="C6" s="8">
        <v>60142</v>
      </c>
      <c r="D6" s="8">
        <v>5009</v>
      </c>
      <c r="E6" s="8">
        <v>15818</v>
      </c>
      <c r="F6" s="8">
        <v>23136</v>
      </c>
      <c r="G6" s="8">
        <v>109190</v>
      </c>
      <c r="H6" s="10" t="s">
        <v>16</v>
      </c>
    </row>
    <row r="7" spans="1:9" ht="38.25" customHeight="1">
      <c r="A7" s="3" t="s">
        <v>9</v>
      </c>
      <c r="B7" s="4">
        <v>0</v>
      </c>
      <c r="C7" s="4">
        <v>790.02</v>
      </c>
      <c r="D7" s="4">
        <v>0</v>
      </c>
      <c r="E7" s="4">
        <v>0</v>
      </c>
      <c r="F7" s="4">
        <v>3144.24</v>
      </c>
      <c r="G7" s="8">
        <v>3934.26</v>
      </c>
      <c r="H7" s="13" t="s">
        <v>19</v>
      </c>
    </row>
    <row r="8" spans="1:9" ht="38.25" customHeight="1">
      <c r="A8" s="3" t="s">
        <v>9</v>
      </c>
      <c r="B8" s="4">
        <v>0</v>
      </c>
      <c r="C8" s="4">
        <v>3589.3319999999999</v>
      </c>
      <c r="D8" s="4">
        <v>0</v>
      </c>
      <c r="E8" s="4">
        <v>0</v>
      </c>
      <c r="F8" s="4">
        <v>0</v>
      </c>
      <c r="G8" s="8">
        <v>3589.33</v>
      </c>
      <c r="H8" s="13" t="s">
        <v>20</v>
      </c>
      <c r="I8" s="14"/>
    </row>
    <row r="9" spans="1:9" ht="40.5" customHeight="1">
      <c r="A9" s="3" t="s">
        <v>10</v>
      </c>
      <c r="B9" s="12">
        <v>5085</v>
      </c>
      <c r="C9" s="12">
        <v>55762.65</v>
      </c>
      <c r="D9" s="12">
        <v>5009</v>
      </c>
      <c r="E9" s="12">
        <v>15818</v>
      </c>
      <c r="F9" s="12">
        <v>19991.759999999998</v>
      </c>
      <c r="G9" s="12">
        <v>101666.41</v>
      </c>
      <c r="H9" s="9" t="s">
        <v>15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10"/>
  <sheetViews>
    <sheetView workbookViewId="0">
      <selection activeCell="I11" sqref="I11"/>
    </sheetView>
  </sheetViews>
  <sheetFormatPr defaultRowHeight="15"/>
  <cols>
    <col min="1" max="1" width="9.85546875" customWidth="1"/>
    <col min="3" max="3" width="9.42578125" bestFit="1" customWidth="1"/>
    <col min="5" max="5" width="10.5703125" bestFit="1" customWidth="1"/>
    <col min="6" max="6" width="9.42578125" bestFit="1" customWidth="1"/>
    <col min="7" max="7" width="12.85546875" bestFit="1" customWidth="1"/>
  </cols>
  <sheetData>
    <row r="3" spans="1:19">
      <c r="C3" s="1" t="s">
        <v>3</v>
      </c>
      <c r="D3" s="1"/>
      <c r="E3" s="1"/>
      <c r="F3" s="1"/>
    </row>
    <row r="4" spans="1:19">
      <c r="C4" t="s">
        <v>7</v>
      </c>
      <c r="D4" s="1" t="s">
        <v>4</v>
      </c>
      <c r="E4" s="1"/>
      <c r="F4" s="1"/>
      <c r="G4" s="1"/>
    </row>
    <row r="5" spans="1:19">
      <c r="D5" s="1" t="s">
        <v>6</v>
      </c>
      <c r="E5" s="1"/>
    </row>
    <row r="6" spans="1:19" ht="26.25">
      <c r="A6" s="5" t="s">
        <v>21</v>
      </c>
      <c r="B6" s="5" t="s">
        <v>0</v>
      </c>
      <c r="C6" s="5" t="s">
        <v>1</v>
      </c>
      <c r="D6" s="5" t="s">
        <v>13</v>
      </c>
      <c r="E6" s="5" t="s">
        <v>5</v>
      </c>
      <c r="F6" s="5" t="s">
        <v>12</v>
      </c>
      <c r="G6" s="5" t="s">
        <v>11</v>
      </c>
      <c r="H6" s="6" t="s">
        <v>2</v>
      </c>
    </row>
    <row r="7" spans="1:19" ht="51.75">
      <c r="A7" s="3" t="s">
        <v>8</v>
      </c>
      <c r="B7" s="12">
        <v>5085</v>
      </c>
      <c r="C7" s="12">
        <v>55762.65</v>
      </c>
      <c r="D7" s="12">
        <v>5009</v>
      </c>
      <c r="E7" s="19">
        <v>15818</v>
      </c>
      <c r="F7" s="12">
        <v>19991.759999999998</v>
      </c>
      <c r="G7" s="12">
        <v>101666.41</v>
      </c>
      <c r="H7" s="10" t="s">
        <v>16</v>
      </c>
    </row>
    <row r="8" spans="1:19" ht="79.5">
      <c r="A8" s="3" t="s">
        <v>9</v>
      </c>
      <c r="B8" s="4">
        <v>0</v>
      </c>
      <c r="C8" s="18">
        <v>1038.998</v>
      </c>
      <c r="D8" s="4">
        <v>0</v>
      </c>
      <c r="E8" s="18">
        <v>365.19900000000001</v>
      </c>
      <c r="F8" s="4">
        <v>0</v>
      </c>
      <c r="G8" s="8">
        <v>1404.2</v>
      </c>
      <c r="H8" s="13" t="s">
        <v>23</v>
      </c>
      <c r="J8" s="24" t="s">
        <v>33</v>
      </c>
      <c r="K8" s="25"/>
      <c r="L8" s="25"/>
      <c r="M8" s="25"/>
      <c r="N8" s="25"/>
      <c r="O8" s="25"/>
      <c r="P8" s="25"/>
      <c r="Q8" s="25"/>
      <c r="R8" s="25"/>
      <c r="S8" s="25"/>
    </row>
    <row r="9" spans="1:19" ht="26.25">
      <c r="A9" s="3" t="s">
        <v>22</v>
      </c>
      <c r="B9" s="4">
        <v>5085</v>
      </c>
      <c r="C9" s="18">
        <v>54723.65</v>
      </c>
      <c r="D9" s="4">
        <v>5009</v>
      </c>
      <c r="E9" s="18">
        <v>15452.8</v>
      </c>
      <c r="F9" s="18">
        <v>19991.759999999998</v>
      </c>
      <c r="G9" s="17">
        <v>100262.21</v>
      </c>
      <c r="H9" s="16" t="s">
        <v>15</v>
      </c>
    </row>
    <row r="10" spans="1:19">
      <c r="A10" s="15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9"/>
  <sheetViews>
    <sheetView workbookViewId="0">
      <selection activeCell="F13" sqref="F13"/>
    </sheetView>
  </sheetViews>
  <sheetFormatPr defaultRowHeight="15"/>
  <cols>
    <col min="3" max="3" width="18" customWidth="1"/>
    <col min="5" max="5" width="12.7109375" customWidth="1"/>
    <col min="6" max="6" width="12" customWidth="1"/>
    <col min="7" max="7" width="11.42578125" customWidth="1"/>
  </cols>
  <sheetData>
    <row r="3" spans="1:10">
      <c r="C3" s="1" t="s">
        <v>3</v>
      </c>
      <c r="D3" s="1"/>
      <c r="E3" s="1"/>
      <c r="F3" s="1"/>
    </row>
    <row r="4" spans="1:10">
      <c r="C4" t="s">
        <v>7</v>
      </c>
      <c r="D4" s="1" t="s">
        <v>4</v>
      </c>
      <c r="E4" s="1"/>
      <c r="F4" s="1"/>
      <c r="G4" s="1"/>
    </row>
    <row r="5" spans="1:10">
      <c r="D5" s="1" t="s">
        <v>6</v>
      </c>
      <c r="E5" s="1"/>
    </row>
    <row r="6" spans="1:10" ht="39">
      <c r="A6" s="5" t="s">
        <v>25</v>
      </c>
      <c r="B6" s="5" t="s">
        <v>0</v>
      </c>
      <c r="C6" s="5" t="s">
        <v>1</v>
      </c>
      <c r="D6" s="5" t="s">
        <v>13</v>
      </c>
      <c r="E6" s="5" t="s">
        <v>5</v>
      </c>
      <c r="F6" s="5" t="s">
        <v>12</v>
      </c>
      <c r="G6" s="5" t="s">
        <v>11</v>
      </c>
      <c r="H6" s="6" t="s">
        <v>2</v>
      </c>
    </row>
    <row r="7" spans="1:10" ht="51.75">
      <c r="A7" s="3" t="s">
        <v>8</v>
      </c>
      <c r="B7" s="4">
        <v>5085</v>
      </c>
      <c r="C7" s="18">
        <v>54723.65</v>
      </c>
      <c r="D7" s="4">
        <v>5009</v>
      </c>
      <c r="E7" s="18">
        <v>15452.8</v>
      </c>
      <c r="F7" s="18">
        <v>19991.759999999998</v>
      </c>
      <c r="G7" s="17">
        <v>100262.21</v>
      </c>
      <c r="H7" s="13" t="s">
        <v>24</v>
      </c>
    </row>
    <row r="8" spans="1:10" ht="71.25" customHeight="1">
      <c r="A8" s="3" t="s">
        <v>27</v>
      </c>
      <c r="B8" s="4">
        <v>0</v>
      </c>
      <c r="C8" s="26">
        <v>1656.83</v>
      </c>
      <c r="D8" s="4">
        <v>0</v>
      </c>
      <c r="E8" s="18">
        <v>365.99</v>
      </c>
      <c r="F8" s="4">
        <v>0</v>
      </c>
      <c r="G8" s="8">
        <v>2022.82</v>
      </c>
      <c r="H8" s="13" t="s">
        <v>26</v>
      </c>
      <c r="J8" s="24" t="s">
        <v>33</v>
      </c>
    </row>
    <row r="9" spans="1:10" ht="39">
      <c r="A9" s="3" t="s">
        <v>22</v>
      </c>
      <c r="B9" s="12">
        <v>5085</v>
      </c>
      <c r="C9" s="12">
        <v>53066.82</v>
      </c>
      <c r="D9" s="12">
        <v>5009</v>
      </c>
      <c r="E9" s="12">
        <v>15086.81</v>
      </c>
      <c r="F9" s="12">
        <v>19991.759999999998</v>
      </c>
      <c r="G9" s="12">
        <v>98239.39</v>
      </c>
      <c r="H9" s="16" t="s">
        <v>15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H9"/>
  <sheetViews>
    <sheetView workbookViewId="0">
      <selection activeCell="L15" sqref="L15"/>
    </sheetView>
  </sheetViews>
  <sheetFormatPr defaultRowHeight="15"/>
  <cols>
    <col min="1" max="1" width="9.85546875" customWidth="1"/>
    <col min="7" max="7" width="10.42578125" customWidth="1"/>
  </cols>
  <sheetData>
    <row r="3" spans="1:8">
      <c r="C3" s="1" t="s">
        <v>3</v>
      </c>
      <c r="D3" s="1"/>
      <c r="E3" s="1"/>
      <c r="F3" s="1"/>
    </row>
    <row r="4" spans="1:8">
      <c r="C4" t="s">
        <v>7</v>
      </c>
      <c r="D4" s="1" t="s">
        <v>4</v>
      </c>
      <c r="E4" s="1"/>
      <c r="F4" s="1"/>
      <c r="G4" s="1"/>
    </row>
    <row r="5" spans="1:8">
      <c r="D5" s="1" t="s">
        <v>6</v>
      </c>
      <c r="E5" s="1"/>
    </row>
    <row r="6" spans="1:8" ht="30.75" customHeight="1">
      <c r="A6" s="5" t="s">
        <v>25</v>
      </c>
      <c r="B6" s="5" t="s">
        <v>0</v>
      </c>
      <c r="C6" s="5" t="s">
        <v>1</v>
      </c>
      <c r="D6" s="5" t="s">
        <v>13</v>
      </c>
      <c r="E6" s="5" t="s">
        <v>5</v>
      </c>
      <c r="F6" s="5" t="s">
        <v>12</v>
      </c>
      <c r="G6" s="5" t="s">
        <v>11</v>
      </c>
      <c r="H6" s="6" t="s">
        <v>2</v>
      </c>
    </row>
    <row r="7" spans="1:8" ht="51.75">
      <c r="A7" s="3" t="s">
        <v>8</v>
      </c>
      <c r="B7" s="12">
        <v>5085</v>
      </c>
      <c r="C7" s="12">
        <v>53066.82</v>
      </c>
      <c r="D7" s="12">
        <v>5009</v>
      </c>
      <c r="E7" s="12">
        <v>15086.81</v>
      </c>
      <c r="F7" s="12">
        <v>19991.759999999998</v>
      </c>
      <c r="G7" s="12">
        <v>98239.39</v>
      </c>
      <c r="H7" s="13" t="s">
        <v>24</v>
      </c>
    </row>
    <row r="8" spans="1:8" ht="60.75">
      <c r="A8" s="3" t="s">
        <v>28</v>
      </c>
      <c r="B8" s="4">
        <v>0</v>
      </c>
      <c r="C8" s="18">
        <v>1056.43</v>
      </c>
      <c r="D8" s="4">
        <v>0</v>
      </c>
      <c r="E8" s="18">
        <v>1732.13</v>
      </c>
      <c r="F8" s="4">
        <v>0</v>
      </c>
      <c r="G8" s="8">
        <v>2788.56</v>
      </c>
      <c r="H8" s="13" t="s">
        <v>29</v>
      </c>
    </row>
    <row r="9" spans="1:8" ht="26.25">
      <c r="A9" s="3" t="s">
        <v>22</v>
      </c>
      <c r="B9" s="12">
        <v>5085</v>
      </c>
      <c r="C9" s="12">
        <v>52010.39</v>
      </c>
      <c r="D9" s="12">
        <v>5009</v>
      </c>
      <c r="E9" s="12">
        <v>13354.68</v>
      </c>
      <c r="F9" s="12">
        <v>19991.75</v>
      </c>
      <c r="G9" s="19">
        <v>95450.83</v>
      </c>
      <c r="H9" s="16" t="s">
        <v>15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J10"/>
  <sheetViews>
    <sheetView topLeftCell="A2" workbookViewId="0">
      <selection activeCell="D10" sqref="D10"/>
    </sheetView>
  </sheetViews>
  <sheetFormatPr defaultRowHeight="15"/>
  <cols>
    <col min="2" max="2" width="5.140625" customWidth="1"/>
    <col min="3" max="3" width="15.5703125" customWidth="1"/>
    <col min="4" max="4" width="6.85546875" customWidth="1"/>
    <col min="5" max="5" width="8.140625" customWidth="1"/>
    <col min="6" max="6" width="9.5703125" customWidth="1"/>
  </cols>
  <sheetData>
    <row r="3" spans="1:10">
      <c r="C3" s="1" t="s">
        <v>3</v>
      </c>
      <c r="D3" s="1"/>
      <c r="E3" s="1"/>
      <c r="F3" s="1"/>
    </row>
    <row r="4" spans="1:10">
      <c r="C4" t="s">
        <v>7</v>
      </c>
      <c r="D4" s="1" t="s">
        <v>4</v>
      </c>
      <c r="E4" s="1"/>
      <c r="F4" s="1"/>
      <c r="G4" s="1"/>
    </row>
    <row r="5" spans="1:10">
      <c r="D5" s="1" t="s">
        <v>6</v>
      </c>
      <c r="E5" s="1"/>
    </row>
    <row r="6" spans="1:10" ht="39">
      <c r="A6" s="5" t="s">
        <v>25</v>
      </c>
      <c r="B6" s="5" t="s">
        <v>0</v>
      </c>
      <c r="C6" s="5" t="s">
        <v>1</v>
      </c>
      <c r="D6" s="5" t="s">
        <v>13</v>
      </c>
      <c r="E6" s="5" t="s">
        <v>5</v>
      </c>
      <c r="F6" s="5" t="s">
        <v>12</v>
      </c>
      <c r="G6" s="5" t="s">
        <v>11</v>
      </c>
      <c r="H6" s="6" t="s">
        <v>2</v>
      </c>
    </row>
    <row r="7" spans="1:10" ht="51.75">
      <c r="A7" s="3" t="s">
        <v>8</v>
      </c>
      <c r="B7" s="12">
        <v>5085</v>
      </c>
      <c r="C7" s="12">
        <v>91642</v>
      </c>
      <c r="D7" s="12">
        <v>5009</v>
      </c>
      <c r="E7" s="12">
        <v>13354.68</v>
      </c>
      <c r="F7" s="12">
        <v>19991.75</v>
      </c>
      <c r="G7" s="19">
        <v>95450.83</v>
      </c>
      <c r="H7" s="13" t="s">
        <v>24</v>
      </c>
    </row>
    <row r="8" spans="1:10" ht="42" customHeight="1">
      <c r="A8" s="3" t="s">
        <v>28</v>
      </c>
      <c r="B8" s="4">
        <v>0</v>
      </c>
      <c r="C8" s="18">
        <v>0</v>
      </c>
      <c r="D8" s="4">
        <v>0</v>
      </c>
      <c r="E8">
        <v>1231.04</v>
      </c>
      <c r="F8" s="4">
        <v>0</v>
      </c>
      <c r="G8" s="21">
        <v>1231.04</v>
      </c>
      <c r="H8" s="13" t="s">
        <v>30</v>
      </c>
    </row>
    <row r="9" spans="1:10" ht="78.75" customHeight="1">
      <c r="A9" s="3" t="s">
        <v>32</v>
      </c>
      <c r="B9" s="12">
        <v>0</v>
      </c>
      <c r="C9" s="28" t="s">
        <v>36</v>
      </c>
      <c r="D9" s="12">
        <v>0</v>
      </c>
      <c r="E9" s="18">
        <v>6110</v>
      </c>
      <c r="F9" s="12">
        <v>0</v>
      </c>
      <c r="G9" s="19">
        <v>6622.11</v>
      </c>
      <c r="H9" s="13" t="s">
        <v>31</v>
      </c>
      <c r="J9" s="27" t="s">
        <v>34</v>
      </c>
    </row>
    <row r="10" spans="1:10" ht="39">
      <c r="A10" s="20" t="s">
        <v>22</v>
      </c>
      <c r="B10" s="12">
        <v>5085</v>
      </c>
      <c r="C10" s="12">
        <v>34562</v>
      </c>
      <c r="D10" s="12">
        <v>5009</v>
      </c>
      <c r="E10" s="12">
        <v>6013.64</v>
      </c>
      <c r="F10" s="12">
        <v>19991.75</v>
      </c>
      <c r="G10" s="22">
        <v>70661.39</v>
      </c>
      <c r="H10" s="23" t="s">
        <v>22</v>
      </c>
      <c r="J10" s="27" t="s">
        <v>35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FE0C-C9A4-4218-98D4-EDE2735AFA57}">
  <sheetPr>
    <pageSetUpPr fitToPage="1"/>
  </sheetPr>
  <dimension ref="A1:O23"/>
  <sheetViews>
    <sheetView tabSelected="1" zoomScale="85" zoomScaleNormal="85" workbookViewId="0">
      <selection activeCell="M13" sqref="M13"/>
    </sheetView>
  </sheetViews>
  <sheetFormatPr defaultRowHeight="15"/>
  <cols>
    <col min="1" max="1" width="8.85546875" style="29"/>
    <col min="2" max="3" width="7.42578125" customWidth="1"/>
    <col min="4" max="4" width="19.42578125" customWidth="1"/>
    <col min="5" max="6" width="22.42578125" customWidth="1"/>
    <col min="7" max="7" width="6.28515625" customWidth="1"/>
    <col min="8" max="8" width="22" customWidth="1"/>
    <col min="12" max="12" width="10.7109375" bestFit="1" customWidth="1"/>
    <col min="13" max="13" width="23.7109375" customWidth="1"/>
  </cols>
  <sheetData>
    <row r="1" spans="1:15" ht="28.5">
      <c r="A1" s="61" t="s">
        <v>47</v>
      </c>
      <c r="B1" s="33"/>
      <c r="C1" s="33"/>
      <c r="D1" s="33"/>
      <c r="E1" s="33"/>
      <c r="F1" s="33"/>
      <c r="G1" s="33"/>
      <c r="H1" s="33"/>
    </row>
    <row r="2" spans="1:15" ht="23.25">
      <c r="A2" s="34" t="s">
        <v>48</v>
      </c>
      <c r="B2" s="33"/>
      <c r="C2" s="33"/>
      <c r="D2" s="33"/>
      <c r="E2" s="33"/>
      <c r="F2" s="33"/>
      <c r="G2" s="33"/>
      <c r="H2" s="33"/>
    </row>
    <row r="3" spans="1:15" s="32" customFormat="1" ht="33" customHeight="1">
      <c r="A3" s="64" t="s">
        <v>136</v>
      </c>
      <c r="B3" s="64"/>
      <c r="C3" s="64"/>
      <c r="D3" s="64"/>
      <c r="E3" s="55" t="s">
        <v>66</v>
      </c>
      <c r="F3" s="57">
        <v>45748</v>
      </c>
      <c r="G3" s="56" t="s">
        <v>46</v>
      </c>
      <c r="H3" s="58">
        <v>45882</v>
      </c>
    </row>
    <row r="4" spans="1:15" s="30" customFormat="1" ht="36.6" customHeight="1">
      <c r="A4" s="65" t="s">
        <v>37</v>
      </c>
      <c r="B4" s="93" t="s">
        <v>40</v>
      </c>
      <c r="C4" s="93"/>
      <c r="D4" s="66" t="s">
        <v>62</v>
      </c>
      <c r="E4" s="66" t="s">
        <v>152</v>
      </c>
      <c r="F4" s="66" t="s">
        <v>63</v>
      </c>
      <c r="G4" s="66"/>
      <c r="H4" s="65" t="s">
        <v>2</v>
      </c>
    </row>
    <row r="5" spans="1:15" s="30" customFormat="1" ht="38.450000000000003" customHeight="1">
      <c r="A5" s="49">
        <v>1</v>
      </c>
      <c r="B5" s="47" t="s">
        <v>51</v>
      </c>
      <c r="C5" s="48" t="s">
        <v>41</v>
      </c>
      <c r="D5" s="77">
        <f>_xlfn.LET(_xlpm.Total,
                      SUMIFS(Table13[Total Steel Received],
                                        Table13[Steel Bar Size],'Summary Steel &amp; Cement'!$B5,
                                         Table13[Date],"&gt;="&amp;'Summary Steel &amp; Cement'!$F$3,
                                          Table13[Date],"&lt;="&amp;'Summary Steel &amp; Cement'!$H$3),
                        IF(_xlpm.Total=0,"-",_xlpm.Total))</f>
        <v>5085</v>
      </c>
      <c r="E5" s="77" t="str">
        <f>_xlfn.LET(_xlpm.Total,
                      SUMIFS(Table12[Total Consumed],
                                        Table12[Steel Bar Size],'Summary Steel &amp; Cement'!$B5,
                                         Table12[Date],"&gt;="&amp;'Summary Steel &amp; Cement'!$F$3,
                                          Table12[Date],"&lt;="&amp;'Summary Steel &amp; Cement'!$H$3),
                      IF(_xlpm.Total=0,"-",_xlpm.Total))</f>
        <v>-</v>
      </c>
      <c r="F5" s="94" t="str">
        <f>IF(AND(ISNUMBER(D5),ISNUMBER(E5)),D5-E5,"-")</f>
        <v>-</v>
      </c>
      <c r="G5" s="95"/>
      <c r="H5" s="46" t="s">
        <v>156</v>
      </c>
      <c r="L5" s="44"/>
      <c r="M5" s="44"/>
      <c r="N5" s="42"/>
      <c r="O5" s="42"/>
    </row>
    <row r="6" spans="1:15" s="31" customFormat="1" ht="38.450000000000003" customHeight="1">
      <c r="A6" s="35">
        <v>2</v>
      </c>
      <c r="B6" s="40" t="s">
        <v>52</v>
      </c>
      <c r="C6" s="38" t="s">
        <v>42</v>
      </c>
      <c r="D6" s="77">
        <f>_xlfn.LET(_xlpm.Total,
                      SUMIFS(Table13[Total Steel Received],
                                        Table13[Steel Bar Size],'Summary Steel &amp; Cement'!$B6,
                                         Table13[Date],"&gt;="&amp;'Summary Steel &amp; Cement'!$F$3,
                                          Table13[Date],"&lt;="&amp;'Summary Steel &amp; Cement'!$H$3),
                        IF(_xlpm.Total=0,"-",_xlpm.Total))</f>
        <v>91642</v>
      </c>
      <c r="E6" s="77">
        <f>_xlfn.LET(_xlpm.Total,
                      SUMIFS(Table12[Total Consumed],
                                        Table12[Steel Bar Size],'Summary Steel &amp; Cement'!$B6,
                                         Table12[Date],"&gt;="&amp;'Summary Steel &amp; Cement'!$F$3,
                                          Table12[Date],"&lt;="&amp;'Summary Steel &amp; Cement'!$H$3),
                      IF(_xlpm.Total=0,"-",_xlpm.Total))</f>
        <v>5603.1581199999991</v>
      </c>
      <c r="F6" s="94">
        <f t="shared" ref="F6:F9" si="0">IF(AND(ISNUMBER(D6),ISNUMBER(E6)),D6-E6,"-")</f>
        <v>86038.841880000007</v>
      </c>
      <c r="G6" s="95"/>
      <c r="H6" s="36" t="s">
        <v>156</v>
      </c>
      <c r="L6" s="45"/>
      <c r="M6" s="44"/>
    </row>
    <row r="7" spans="1:15" s="31" customFormat="1" ht="38.450000000000003" customHeight="1">
      <c r="A7" s="35">
        <v>3</v>
      </c>
      <c r="B7" s="41" t="s">
        <v>53</v>
      </c>
      <c r="C7" s="39" t="s">
        <v>43</v>
      </c>
      <c r="D7" s="77">
        <f>_xlfn.LET(_xlpm.Total,
                      SUMIFS(Table13[Total Steel Received],
                                        Table13[Steel Bar Size],'Summary Steel &amp; Cement'!$B7,
                                         Table13[Date],"&gt;="&amp;'Summary Steel &amp; Cement'!$F$3,
                                          Table13[Date],"&lt;="&amp;'Summary Steel &amp; Cement'!$H$3),
                        IF(_xlpm.Total=0,"-",_xlpm.Total))</f>
        <v>55009</v>
      </c>
      <c r="E7" s="77">
        <f>_xlfn.LET(_xlpm.Total,
                      SUMIFS(Table12[Total Consumed],
                                        Table12[Steel Bar Size],'Summary Steel &amp; Cement'!$B7,
                                         Table12[Date],"&gt;="&amp;'Summary Steel &amp; Cement'!$F$3,
                                          Table12[Date],"&lt;="&amp;'Summary Steel &amp; Cement'!$H$3),
                      IF(_xlpm.Total=0,"-",_xlpm.Total))</f>
        <v>2464.7312000000002</v>
      </c>
      <c r="F7" s="94">
        <f t="shared" si="0"/>
        <v>52544.268799999998</v>
      </c>
      <c r="G7" s="95"/>
      <c r="H7" s="37" t="s">
        <v>156</v>
      </c>
      <c r="I7" s="235" t="s">
        <v>161</v>
      </c>
      <c r="J7" s="236"/>
      <c r="K7" s="236"/>
      <c r="L7" s="45"/>
      <c r="M7" s="44"/>
      <c r="N7" s="43"/>
      <c r="O7" s="43"/>
    </row>
    <row r="8" spans="1:15" s="31" customFormat="1" ht="38.450000000000003" customHeight="1">
      <c r="A8" s="35">
        <v>4</v>
      </c>
      <c r="B8" s="40" t="s">
        <v>54</v>
      </c>
      <c r="C8" s="38" t="s">
        <v>44</v>
      </c>
      <c r="D8" s="77">
        <f>_xlfn.LET(_xlpm.Total,
                      SUMIFS(Table13[Total Steel Received],
                                        Table13[Steel Bar Size],'Summary Steel &amp; Cement'!$B8,
                                         Table13[Date],"&gt;="&amp;'Summary Steel &amp; Cement'!$F$3,
                                          Table13[Date],"&lt;="&amp;'Summary Steel &amp; Cement'!$H$3),
                        IF(_xlpm.Total=0,"-",_xlpm.Total))</f>
        <v>24829</v>
      </c>
      <c r="E8" s="77">
        <f>_xlfn.LET(_xlpm.Total,
                      SUMIFS(Table12[Total Consumed],
                                        Table12[Steel Bar Size],'Summary Steel &amp; Cement'!$B8,
                                         Table12[Date],"&gt;="&amp;'Summary Steel &amp; Cement'!$F$3,
                                          Table12[Date],"&lt;="&amp;'Summary Steel &amp; Cement'!$H$3),
                      IF(_xlpm.Total=0,"-",_xlpm.Total))</f>
        <v>6.0345000000000004</v>
      </c>
      <c r="F8" s="94">
        <f t="shared" si="0"/>
        <v>24822.965499999998</v>
      </c>
      <c r="G8" s="95"/>
      <c r="H8" s="36" t="s">
        <v>156</v>
      </c>
      <c r="J8" s="78"/>
      <c r="L8" s="45"/>
      <c r="M8" s="44"/>
    </row>
    <row r="9" spans="1:15" s="31" customFormat="1" ht="38.450000000000003" customHeight="1">
      <c r="A9" s="35">
        <v>5</v>
      </c>
      <c r="B9" s="40" t="s">
        <v>55</v>
      </c>
      <c r="C9" s="70" t="s">
        <v>45</v>
      </c>
      <c r="D9" s="77">
        <f>_xlfn.LET(_xlpm.Total,
                      SUMIFS(Table13[Total Steel Received],
                                        Table13[Steel Bar Size],'Summary Steel &amp; Cement'!$B9,
                                         Table13[Date],"&gt;="&amp;'Summary Steel &amp; Cement'!$F$3,
                                          Table13[Date],"&lt;="&amp;'Summary Steel &amp; Cement'!$H$3),
                        IF(_xlpm.Total=0,"-",_xlpm.Total))</f>
        <v>29975</v>
      </c>
      <c r="E9" s="77" t="str">
        <f>_xlfn.LET(_xlpm.Total,
                      SUMIFS(Table12[Total Consumed],
                                        Table12[Steel Bar Size],'Summary Steel &amp; Cement'!$B9,
                                         Table12[Date],"&gt;="&amp;'Summary Steel &amp; Cement'!$F$3,
                                          Table12[Date],"&lt;="&amp;'Summary Steel &amp; Cement'!$H$3),
                      IF(_xlpm.Total=0,"-",_xlpm.Total))</f>
        <v>-</v>
      </c>
      <c r="F9" s="94" t="str">
        <f t="shared" si="0"/>
        <v>-</v>
      </c>
      <c r="G9" s="95"/>
      <c r="H9" s="37" t="s">
        <v>156</v>
      </c>
      <c r="L9" s="45"/>
      <c r="M9" s="44"/>
    </row>
    <row r="10" spans="1:15" s="31" customFormat="1" ht="55.9" customHeight="1">
      <c r="A10" s="67"/>
      <c r="B10" s="68"/>
      <c r="C10" s="69"/>
      <c r="D10" s="71" t="s">
        <v>58</v>
      </c>
      <c r="E10" s="72" t="s">
        <v>145</v>
      </c>
      <c r="F10" s="85" t="s">
        <v>142</v>
      </c>
      <c r="G10" s="85"/>
      <c r="H10" s="30"/>
      <c r="L10" s="45"/>
      <c r="M10" s="44"/>
    </row>
    <row r="11" spans="1:15" ht="28.9" customHeight="1">
      <c r="A11" s="97" t="s">
        <v>136</v>
      </c>
      <c r="B11" s="98"/>
      <c r="C11" s="99"/>
      <c r="D11" s="73">
        <f>SUM(D5:D9)</f>
        <v>206540</v>
      </c>
      <c r="E11" s="73">
        <f>SUM(E5:E9)</f>
        <v>8073.9238199999991</v>
      </c>
      <c r="F11" s="103">
        <f>SUM(F5:G9)</f>
        <v>163406.07618</v>
      </c>
      <c r="G11" s="103"/>
      <c r="H11" s="96"/>
    </row>
    <row r="12" spans="1:15" ht="28.9" customHeight="1">
      <c r="A12" s="100"/>
      <c r="B12" s="101"/>
      <c r="C12" s="102"/>
      <c r="D12" s="74">
        <f>D11/1000</f>
        <v>206.54</v>
      </c>
      <c r="E12" s="74">
        <f>E11/1000</f>
        <v>8.0739238199999992</v>
      </c>
      <c r="F12" s="104">
        <f>F11/1000</f>
        <v>163.40607618000001</v>
      </c>
      <c r="G12" s="104"/>
      <c r="H12" s="96"/>
    </row>
    <row r="13" spans="1:15" ht="39.6" customHeight="1">
      <c r="A13" s="87" t="s">
        <v>144</v>
      </c>
      <c r="B13" s="87"/>
      <c r="C13" s="87"/>
      <c r="D13" s="87"/>
      <c r="E13" s="87"/>
      <c r="F13" s="87"/>
      <c r="G13" s="87"/>
      <c r="H13" s="87"/>
    </row>
    <row r="14" spans="1:15" ht="55.15" customHeight="1" thickBot="1">
      <c r="A14" s="86" t="s">
        <v>143</v>
      </c>
      <c r="B14" s="86"/>
      <c r="C14" s="86"/>
      <c r="D14" s="86"/>
      <c r="E14" s="86"/>
      <c r="F14" s="86"/>
      <c r="G14" s="86"/>
      <c r="H14" s="86"/>
    </row>
    <row r="15" spans="1:15" ht="6.6" customHeight="1" thickBot="1">
      <c r="A15" s="79"/>
      <c r="B15" s="80"/>
      <c r="C15" s="80"/>
      <c r="D15" s="80"/>
      <c r="E15" s="80"/>
      <c r="F15" s="80"/>
      <c r="G15" s="80"/>
      <c r="H15" s="81"/>
    </row>
    <row r="16" spans="1:15" ht="21.6" customHeight="1"/>
    <row r="17" spans="1:8" ht="36">
      <c r="A17" s="64" t="s">
        <v>137</v>
      </c>
      <c r="B17" s="64"/>
      <c r="C17" s="64"/>
      <c r="D17" s="64"/>
      <c r="E17" s="55" t="s">
        <v>66</v>
      </c>
      <c r="F17" s="62">
        <v>45848</v>
      </c>
      <c r="G17" s="56" t="s">
        <v>46</v>
      </c>
      <c r="H17" s="63">
        <v>45878</v>
      </c>
    </row>
    <row r="18" spans="1:8" s="31" customFormat="1" ht="33" customHeight="1">
      <c r="A18" s="89" t="s">
        <v>138</v>
      </c>
      <c r="B18" s="89"/>
      <c r="C18" s="89"/>
      <c r="D18" s="89"/>
      <c r="E18" s="60" t="s">
        <v>67</v>
      </c>
      <c r="F18" s="88">
        <f>_xlfn.LET(_xlpm.Total,
                      SUMIFS(Cement_Data!$V$3:$V$12,
                                        Cement_Data!$K$3:$K$12,"&gt;="&amp;'Summary Steel &amp; Cement'!$F$17,
                                         Cement_Data!$K$3:$K$12,"&lt;="&amp;'Summary Steel &amp; Cement'!$H$17),
                         IF(_xlpm.Total=0,"-",_xlpm.Total))</f>
        <v>324735</v>
      </c>
      <c r="G18" s="88"/>
      <c r="H18" s="75">
        <f>F18/1000</f>
        <v>324.73500000000001</v>
      </c>
    </row>
    <row r="19" spans="1:8" s="31" customFormat="1" ht="33" customHeight="1">
      <c r="A19" s="89"/>
      <c r="B19" s="89"/>
      <c r="C19" s="89"/>
      <c r="D19" s="89"/>
      <c r="E19" s="60" t="s">
        <v>68</v>
      </c>
      <c r="F19" s="88">
        <f>_xlfn.LET(_xlpm.total,
              SUMIFS(Cement_Data!$G$3:$G$74,
                               Cement_Data!B3:B74,"&gt;="&amp;'Summary Steel &amp; Cement'!$F$17,
                                Cement_Data!B3:B74,"&lt;="&amp;'Summary Steel &amp; Cement'!$H$17),
IF(_xlpm.total=0,"-",_xlpm.total))</f>
        <v>376520</v>
      </c>
      <c r="G19" s="88"/>
      <c r="H19" s="75">
        <f>F19/1000</f>
        <v>376.52</v>
      </c>
    </row>
    <row r="20" spans="1:8" s="31" customFormat="1" ht="33" customHeight="1">
      <c r="A20" s="90" t="s">
        <v>139</v>
      </c>
      <c r="B20" s="90"/>
      <c r="C20" s="90"/>
      <c r="D20" s="90"/>
      <c r="E20" s="90"/>
      <c r="F20" s="91">
        <f>F19-F18</f>
        <v>51785</v>
      </c>
      <c r="G20" s="92"/>
      <c r="H20" s="76">
        <f>H19-H18</f>
        <v>51.784999999999968</v>
      </c>
    </row>
    <row r="21" spans="1:8" ht="16.149999999999999" customHeight="1">
      <c r="A21"/>
    </row>
    <row r="22" spans="1:8" ht="30.6" customHeight="1">
      <c r="A22" s="82" t="s">
        <v>140</v>
      </c>
      <c r="B22" s="82"/>
      <c r="C22" s="82"/>
      <c r="D22" s="82"/>
      <c r="E22" s="82"/>
      <c r="F22" s="82"/>
      <c r="G22" s="82"/>
      <c r="H22" s="82"/>
    </row>
    <row r="23" spans="1:8" ht="42.6" customHeight="1">
      <c r="A23" s="83" t="s">
        <v>141</v>
      </c>
      <c r="B23" s="84"/>
      <c r="C23" s="84"/>
      <c r="D23" s="84"/>
      <c r="E23" s="84"/>
      <c r="F23" s="84"/>
      <c r="G23" s="84"/>
      <c r="H23" s="84"/>
    </row>
  </sheetData>
  <mergeCells count="22">
    <mergeCell ref="I7:K7"/>
    <mergeCell ref="B4:C4"/>
    <mergeCell ref="F5:G5"/>
    <mergeCell ref="F6:G6"/>
    <mergeCell ref="H11:H12"/>
    <mergeCell ref="A11:C12"/>
    <mergeCell ref="F7:G7"/>
    <mergeCell ref="F8:G8"/>
    <mergeCell ref="F9:G9"/>
    <mergeCell ref="F11:G11"/>
    <mergeCell ref="F12:G12"/>
    <mergeCell ref="A15:H15"/>
    <mergeCell ref="A22:H22"/>
    <mergeCell ref="A23:H23"/>
    <mergeCell ref="F10:G10"/>
    <mergeCell ref="A14:H14"/>
    <mergeCell ref="A13:H13"/>
    <mergeCell ref="F18:G18"/>
    <mergeCell ref="F19:G19"/>
    <mergeCell ref="A18:D19"/>
    <mergeCell ref="A20:E20"/>
    <mergeCell ref="F20:G20"/>
  </mergeCells>
  <pageMargins left="0.2" right="0.24" top="0.45" bottom="0.47" header="0.3" footer="0.3"/>
  <pageSetup scale="88" fitToHeight="0" orientation="portrait" r:id="rId1"/>
  <headerFooter>
    <oddFooter>&amp;LSummary of Steel and Cement&amp;CPage&amp;N/1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B4F6-5E27-4B75-AB67-9FDB437E094C}">
  <sheetPr>
    <tabColor theme="8" tint="0.59999389629810485"/>
  </sheetPr>
  <dimension ref="A1:W74"/>
  <sheetViews>
    <sheetView topLeftCell="A46" workbookViewId="0">
      <selection activeCell="D26" sqref="D26"/>
    </sheetView>
  </sheetViews>
  <sheetFormatPr defaultRowHeight="15"/>
  <cols>
    <col min="1" max="1" width="7.7109375" customWidth="1"/>
    <col min="2" max="2" width="10.85546875" bestFit="1" customWidth="1"/>
    <col min="3" max="3" width="8.28515625" customWidth="1"/>
    <col min="4" max="4" width="27.7109375" bestFit="1" customWidth="1"/>
    <col min="5" max="5" width="49.140625" customWidth="1"/>
    <col min="6" max="6" width="35.42578125" customWidth="1"/>
    <col min="7" max="7" width="21.28515625" customWidth="1"/>
    <col min="8" max="8" width="21.42578125" bestFit="1" customWidth="1"/>
    <col min="11" max="11" width="12.140625" bestFit="1" customWidth="1"/>
    <col min="12" max="12" width="23.42578125" bestFit="1" customWidth="1"/>
    <col min="13" max="13" width="11.85546875" customWidth="1"/>
    <col min="14" max="14" width="10.5703125" customWidth="1"/>
    <col min="15" max="15" width="18.28515625" customWidth="1"/>
    <col min="16" max="16" width="10.7109375" customWidth="1"/>
    <col min="17" max="17" width="11.5703125" customWidth="1"/>
    <col min="18" max="18" width="13.140625" customWidth="1"/>
    <col min="19" max="19" width="19" customWidth="1"/>
    <col min="20" max="20" width="12" customWidth="1"/>
    <col min="21" max="21" width="16.7109375" customWidth="1"/>
    <col min="22" max="22" width="12" customWidth="1"/>
    <col min="23" max="23" width="41.85546875" bestFit="1" customWidth="1"/>
  </cols>
  <sheetData>
    <row r="1" spans="1:23" ht="36.75">
      <c r="A1" s="166" t="s">
        <v>159</v>
      </c>
      <c r="B1" s="167"/>
      <c r="C1" s="167"/>
      <c r="D1" s="167"/>
      <c r="E1" s="167"/>
      <c r="F1" s="167"/>
      <c r="G1" s="167"/>
      <c r="H1" s="168"/>
      <c r="J1" s="169" t="s">
        <v>160</v>
      </c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1"/>
    </row>
    <row r="2" spans="1:23" ht="38.25" customHeight="1" thickBot="1">
      <c r="A2" s="181" t="s">
        <v>37</v>
      </c>
      <c r="B2" s="182" t="s">
        <v>38</v>
      </c>
      <c r="C2" s="183" t="s">
        <v>74</v>
      </c>
      <c r="D2" s="183" t="s">
        <v>158</v>
      </c>
      <c r="E2" s="184" t="s">
        <v>75</v>
      </c>
      <c r="F2" s="185" t="s">
        <v>76</v>
      </c>
      <c r="G2" s="186" t="s">
        <v>77</v>
      </c>
      <c r="H2" s="187" t="s">
        <v>2</v>
      </c>
      <c r="J2" s="199" t="s">
        <v>37</v>
      </c>
      <c r="K2" s="200" t="s">
        <v>38</v>
      </c>
      <c r="L2" s="201" t="s">
        <v>110</v>
      </c>
      <c r="M2" s="201" t="s">
        <v>111</v>
      </c>
      <c r="N2" s="202" t="s">
        <v>112</v>
      </c>
      <c r="O2" s="202" t="s">
        <v>113</v>
      </c>
      <c r="P2" s="201" t="s">
        <v>67</v>
      </c>
      <c r="Q2" s="202" t="s">
        <v>114</v>
      </c>
      <c r="R2" s="202" t="s">
        <v>115</v>
      </c>
      <c r="S2" s="202" t="s">
        <v>116</v>
      </c>
      <c r="T2" s="202" t="s">
        <v>117</v>
      </c>
      <c r="U2" s="202" t="s">
        <v>118</v>
      </c>
      <c r="V2" s="202" t="s">
        <v>69</v>
      </c>
      <c r="W2" s="203" t="s">
        <v>2</v>
      </c>
    </row>
    <row r="3" spans="1:23" ht="15" customHeight="1">
      <c r="A3" s="175">
        <v>1</v>
      </c>
      <c r="B3" s="162">
        <v>45848</v>
      </c>
      <c r="C3" s="163" t="s">
        <v>71</v>
      </c>
      <c r="D3" s="163" t="s">
        <v>78</v>
      </c>
      <c r="E3" s="163">
        <v>430</v>
      </c>
      <c r="F3" s="164">
        <v>14.5</v>
      </c>
      <c r="G3" s="165">
        <f>IF(AND(D3="",E3=""),"-",F3*E3)</f>
        <v>6235</v>
      </c>
      <c r="H3" s="178" t="s">
        <v>79</v>
      </c>
      <c r="J3" s="194">
        <v>1</v>
      </c>
      <c r="K3" s="172">
        <v>45775</v>
      </c>
      <c r="L3" s="173" t="s">
        <v>119</v>
      </c>
      <c r="M3" s="174" t="s">
        <v>120</v>
      </c>
      <c r="N3" s="174"/>
      <c r="O3" s="174"/>
      <c r="P3" s="174">
        <v>64.56</v>
      </c>
      <c r="Q3" s="174" t="s">
        <v>121</v>
      </c>
      <c r="R3" s="174">
        <v>0</v>
      </c>
      <c r="S3" s="174">
        <v>65.900000000000006</v>
      </c>
      <c r="T3" s="174">
        <v>64.56</v>
      </c>
      <c r="U3" s="174">
        <v>64.56</v>
      </c>
      <c r="V3" s="165">
        <f>U3*1000</f>
        <v>64560</v>
      </c>
      <c r="W3" s="196">
        <v>64560</v>
      </c>
    </row>
    <row r="4" spans="1:23" ht="15" customHeight="1">
      <c r="A4" s="176"/>
      <c r="B4" s="129">
        <v>45848</v>
      </c>
      <c r="C4" s="158" t="s">
        <v>71</v>
      </c>
      <c r="D4" s="158" t="s">
        <v>80</v>
      </c>
      <c r="E4" s="158">
        <v>280</v>
      </c>
      <c r="F4" s="160">
        <v>14</v>
      </c>
      <c r="G4" s="154">
        <f t="shared" ref="G4:G67" si="0">IF(AND(D4="",E4=""),"-",F4*E4)</f>
        <v>3920</v>
      </c>
      <c r="H4" s="179" t="s">
        <v>156</v>
      </c>
      <c r="J4" s="195">
        <v>2</v>
      </c>
      <c r="K4" s="59">
        <v>45807</v>
      </c>
      <c r="L4" s="51" t="s">
        <v>119</v>
      </c>
      <c r="M4" s="50" t="s">
        <v>120</v>
      </c>
      <c r="N4" s="50">
        <v>779180</v>
      </c>
      <c r="O4" s="50"/>
      <c r="P4" s="50">
        <v>66.86</v>
      </c>
      <c r="Q4" s="50" t="s">
        <v>122</v>
      </c>
      <c r="R4" s="50" t="s">
        <v>123</v>
      </c>
      <c r="S4" s="50">
        <v>66.86</v>
      </c>
      <c r="T4" s="50">
        <v>66.86</v>
      </c>
      <c r="U4" s="50">
        <v>66.86</v>
      </c>
      <c r="V4" s="154">
        <f t="shared" ref="V4:V12" si="1">U4*1000</f>
        <v>66860</v>
      </c>
      <c r="W4" s="197">
        <v>66860</v>
      </c>
    </row>
    <row r="5" spans="1:23">
      <c r="A5" s="177"/>
      <c r="B5" s="161">
        <v>45849</v>
      </c>
      <c r="C5" s="157" t="s">
        <v>72</v>
      </c>
      <c r="D5" s="157" t="s">
        <v>80</v>
      </c>
      <c r="E5" s="157">
        <v>280</v>
      </c>
      <c r="F5" s="159">
        <v>13</v>
      </c>
      <c r="G5" s="154">
        <f t="shared" si="0"/>
        <v>3640</v>
      </c>
      <c r="H5" s="180" t="s">
        <v>156</v>
      </c>
      <c r="J5" s="195">
        <v>3</v>
      </c>
      <c r="K5" s="59">
        <v>45836</v>
      </c>
      <c r="L5" s="51" t="s">
        <v>119</v>
      </c>
      <c r="M5" s="50" t="s">
        <v>120</v>
      </c>
      <c r="N5" s="50">
        <v>782874</v>
      </c>
      <c r="O5" s="50">
        <v>84153379</v>
      </c>
      <c r="P5" s="50">
        <v>70.045000000000002</v>
      </c>
      <c r="Q5" s="50" t="s">
        <v>124</v>
      </c>
      <c r="R5" s="50" t="s">
        <v>125</v>
      </c>
      <c r="S5" s="50">
        <v>69.510000000000005</v>
      </c>
      <c r="T5" s="50">
        <v>70.045000000000002</v>
      </c>
      <c r="U5" s="50">
        <v>70.045000000000002</v>
      </c>
      <c r="V5" s="154">
        <f t="shared" si="1"/>
        <v>70045</v>
      </c>
      <c r="W5" s="197">
        <v>70045</v>
      </c>
    </row>
    <row r="6" spans="1:23">
      <c r="A6" s="176"/>
      <c r="B6" s="129">
        <v>45850</v>
      </c>
      <c r="C6" s="158" t="s">
        <v>72</v>
      </c>
      <c r="D6" s="158"/>
      <c r="E6" s="158">
        <v>280</v>
      </c>
      <c r="F6" s="160">
        <v>8</v>
      </c>
      <c r="G6" s="154">
        <f t="shared" si="0"/>
        <v>2240</v>
      </c>
      <c r="H6" s="179" t="s">
        <v>156</v>
      </c>
      <c r="J6" s="195">
        <v>4</v>
      </c>
      <c r="K6" s="59">
        <v>45836</v>
      </c>
      <c r="L6" s="51" t="s">
        <v>119</v>
      </c>
      <c r="M6" s="50" t="s">
        <v>120</v>
      </c>
      <c r="N6" s="50">
        <v>782874</v>
      </c>
      <c r="O6" s="50">
        <v>84153383</v>
      </c>
      <c r="P6" s="50">
        <v>68.88</v>
      </c>
      <c r="Q6" s="50" t="s">
        <v>126</v>
      </c>
      <c r="R6" s="50" t="s">
        <v>127</v>
      </c>
      <c r="S6" s="50">
        <v>68.16</v>
      </c>
      <c r="T6" s="50">
        <v>68.88</v>
      </c>
      <c r="U6" s="50">
        <v>68.88</v>
      </c>
      <c r="V6" s="154">
        <f t="shared" si="1"/>
        <v>68880</v>
      </c>
      <c r="W6" s="197">
        <v>68880</v>
      </c>
    </row>
    <row r="7" spans="1:23">
      <c r="A7" s="177"/>
      <c r="B7" s="161">
        <v>45850</v>
      </c>
      <c r="C7" s="157" t="s">
        <v>73</v>
      </c>
      <c r="D7" s="157" t="s">
        <v>81</v>
      </c>
      <c r="E7" s="157">
        <v>220</v>
      </c>
      <c r="F7" s="159">
        <v>6</v>
      </c>
      <c r="G7" s="154">
        <f t="shared" si="0"/>
        <v>1320</v>
      </c>
      <c r="H7" s="180" t="s">
        <v>156</v>
      </c>
      <c r="J7" s="195"/>
      <c r="K7" s="59">
        <v>45848</v>
      </c>
      <c r="L7" s="51"/>
      <c r="M7" s="50"/>
      <c r="N7" s="50"/>
      <c r="O7" s="50"/>
      <c r="P7" s="50"/>
      <c r="Q7" s="50"/>
      <c r="R7" s="50"/>
      <c r="S7" s="50"/>
      <c r="T7" s="50"/>
      <c r="U7" s="50"/>
      <c r="V7" s="154">
        <f t="shared" si="1"/>
        <v>0</v>
      </c>
      <c r="W7" s="198" t="s">
        <v>128</v>
      </c>
    </row>
    <row r="8" spans="1:23" ht="15" customHeight="1">
      <c r="A8" s="176"/>
      <c r="B8" s="129">
        <v>45851</v>
      </c>
      <c r="C8" s="158" t="s">
        <v>72</v>
      </c>
      <c r="D8" s="158" t="s">
        <v>82</v>
      </c>
      <c r="E8" s="158">
        <v>280</v>
      </c>
      <c r="F8" s="160">
        <v>9</v>
      </c>
      <c r="G8" s="154">
        <f t="shared" si="0"/>
        <v>2520</v>
      </c>
      <c r="H8" s="179" t="s">
        <v>156</v>
      </c>
      <c r="J8" s="195">
        <v>5</v>
      </c>
      <c r="K8" s="59">
        <v>45855</v>
      </c>
      <c r="L8" s="51" t="s">
        <v>119</v>
      </c>
      <c r="M8" s="50" t="s">
        <v>120</v>
      </c>
      <c r="N8" s="50">
        <v>785943</v>
      </c>
      <c r="O8" s="50">
        <v>84172975</v>
      </c>
      <c r="P8" s="50">
        <v>67.66</v>
      </c>
      <c r="Q8" s="50" t="s">
        <v>129</v>
      </c>
      <c r="R8" s="51" t="s">
        <v>130</v>
      </c>
      <c r="S8" s="50">
        <v>67.28</v>
      </c>
      <c r="T8" s="50">
        <v>67.66</v>
      </c>
      <c r="U8" s="50">
        <v>67.66</v>
      </c>
      <c r="V8" s="154">
        <f t="shared" si="1"/>
        <v>67660</v>
      </c>
      <c r="W8" s="198"/>
    </row>
    <row r="9" spans="1:23" ht="15" customHeight="1">
      <c r="A9" s="177"/>
      <c r="B9" s="161">
        <v>45851</v>
      </c>
      <c r="C9" s="157" t="s">
        <v>71</v>
      </c>
      <c r="D9" s="157" t="s">
        <v>80</v>
      </c>
      <c r="E9" s="157">
        <v>430</v>
      </c>
      <c r="F9" s="159">
        <v>15.5</v>
      </c>
      <c r="G9" s="154">
        <f t="shared" si="0"/>
        <v>6665</v>
      </c>
      <c r="H9" s="180" t="s">
        <v>156</v>
      </c>
      <c r="J9" s="195">
        <v>6</v>
      </c>
      <c r="K9" s="59">
        <v>45855</v>
      </c>
      <c r="L9" s="51" t="s">
        <v>119</v>
      </c>
      <c r="M9" s="50" t="s">
        <v>120</v>
      </c>
      <c r="N9" s="50">
        <v>785943</v>
      </c>
      <c r="O9" s="50">
        <v>84173395</v>
      </c>
      <c r="P9" s="50">
        <v>66.795000000000002</v>
      </c>
      <c r="Q9" s="50" t="s">
        <v>131</v>
      </c>
      <c r="R9" s="51" t="s">
        <v>132</v>
      </c>
      <c r="S9" s="50">
        <v>66.38</v>
      </c>
      <c r="T9" s="50">
        <v>66.795000000000002</v>
      </c>
      <c r="U9" s="50">
        <v>66.795000000000002</v>
      </c>
      <c r="V9" s="154">
        <f t="shared" si="1"/>
        <v>66795</v>
      </c>
      <c r="W9" s="198"/>
    </row>
    <row r="10" spans="1:23" ht="15" customHeight="1">
      <c r="A10" s="176"/>
      <c r="B10" s="129">
        <v>45851</v>
      </c>
      <c r="C10" s="158" t="s">
        <v>73</v>
      </c>
      <c r="D10" s="158" t="s">
        <v>78</v>
      </c>
      <c r="E10" s="158">
        <v>220</v>
      </c>
      <c r="F10" s="160">
        <v>3</v>
      </c>
      <c r="G10" s="154">
        <f t="shared" si="0"/>
        <v>660</v>
      </c>
      <c r="H10" s="179" t="s">
        <v>156</v>
      </c>
      <c r="J10" s="195">
        <v>7</v>
      </c>
      <c r="K10" s="59">
        <v>45855</v>
      </c>
      <c r="L10" s="51" t="s">
        <v>119</v>
      </c>
      <c r="M10" s="50" t="s">
        <v>120</v>
      </c>
      <c r="N10" s="50">
        <v>785943</v>
      </c>
      <c r="O10" s="50">
        <v>84173507</v>
      </c>
      <c r="P10" s="52">
        <v>63.05</v>
      </c>
      <c r="Q10" s="50" t="s">
        <v>122</v>
      </c>
      <c r="R10" s="51" t="s">
        <v>133</v>
      </c>
      <c r="S10" s="50">
        <v>63.05</v>
      </c>
      <c r="T10" s="52">
        <v>63.19</v>
      </c>
      <c r="U10" s="52">
        <v>63.19</v>
      </c>
      <c r="V10" s="154">
        <f t="shared" si="1"/>
        <v>63190</v>
      </c>
      <c r="W10" s="198"/>
    </row>
    <row r="11" spans="1:23" ht="15" customHeight="1">
      <c r="A11" s="177"/>
      <c r="B11" s="161">
        <v>45852</v>
      </c>
      <c r="C11" s="157" t="s">
        <v>72</v>
      </c>
      <c r="D11" s="157" t="s">
        <v>83</v>
      </c>
      <c r="E11" s="157">
        <v>280</v>
      </c>
      <c r="F11" s="159">
        <v>25</v>
      </c>
      <c r="G11" s="154">
        <f t="shared" si="0"/>
        <v>7000</v>
      </c>
      <c r="H11" s="180" t="s">
        <v>156</v>
      </c>
      <c r="J11" s="195">
        <v>8</v>
      </c>
      <c r="K11" s="59">
        <v>45866</v>
      </c>
      <c r="L11" s="51" t="s">
        <v>119</v>
      </c>
      <c r="M11" s="50" t="s">
        <v>120</v>
      </c>
      <c r="N11" s="53">
        <v>788359</v>
      </c>
      <c r="O11" s="53">
        <v>84186542</v>
      </c>
      <c r="P11" s="53">
        <v>66.944999999999993</v>
      </c>
      <c r="Q11" s="53" t="s">
        <v>134</v>
      </c>
      <c r="R11" s="53" t="s">
        <v>135</v>
      </c>
      <c r="S11" s="53">
        <v>66.599999999999994</v>
      </c>
      <c r="T11" s="53">
        <v>66.944999999999993</v>
      </c>
      <c r="U11" s="54">
        <v>66.599999999999994</v>
      </c>
      <c r="V11" s="154">
        <f t="shared" si="1"/>
        <v>66600</v>
      </c>
      <c r="W11" s="198"/>
    </row>
    <row r="12" spans="1:23">
      <c r="A12" s="176">
        <v>2</v>
      </c>
      <c r="B12" s="129">
        <v>45852</v>
      </c>
      <c r="C12" s="158" t="s">
        <v>73</v>
      </c>
      <c r="D12" s="158" t="s">
        <v>84</v>
      </c>
      <c r="E12" s="158">
        <v>220</v>
      </c>
      <c r="F12" s="160">
        <v>3</v>
      </c>
      <c r="G12" s="154">
        <f t="shared" si="0"/>
        <v>660</v>
      </c>
      <c r="H12" s="179" t="s">
        <v>85</v>
      </c>
      <c r="J12" s="204">
        <v>9</v>
      </c>
      <c r="K12" s="205">
        <v>45874</v>
      </c>
      <c r="L12" s="206" t="s">
        <v>119</v>
      </c>
      <c r="M12" s="206" t="s">
        <v>120</v>
      </c>
      <c r="N12" s="206">
        <v>788359</v>
      </c>
      <c r="O12" s="206">
        <v>84197842</v>
      </c>
      <c r="P12" s="206">
        <v>60.82</v>
      </c>
      <c r="Q12" s="206" t="s">
        <v>134</v>
      </c>
      <c r="R12" s="206" t="s">
        <v>135</v>
      </c>
      <c r="S12" s="206">
        <v>60.49</v>
      </c>
      <c r="T12" s="206">
        <v>60.82</v>
      </c>
      <c r="U12" s="206">
        <v>60.49</v>
      </c>
      <c r="V12" s="192">
        <f t="shared" si="1"/>
        <v>60490</v>
      </c>
      <c r="W12" s="207"/>
    </row>
    <row r="13" spans="1:23">
      <c r="A13" s="177">
        <v>3</v>
      </c>
      <c r="B13" s="161">
        <v>45853</v>
      </c>
      <c r="C13" s="157" t="s">
        <v>71</v>
      </c>
      <c r="D13" s="157" t="s">
        <v>86</v>
      </c>
      <c r="E13" s="157">
        <v>430</v>
      </c>
      <c r="F13" s="159">
        <v>23</v>
      </c>
      <c r="G13" s="154">
        <f t="shared" si="0"/>
        <v>9890</v>
      </c>
      <c r="H13" s="180" t="s">
        <v>156</v>
      </c>
    </row>
    <row r="14" spans="1:23">
      <c r="A14" s="176">
        <v>4</v>
      </c>
      <c r="B14" s="129">
        <v>45853</v>
      </c>
      <c r="C14" s="158" t="s">
        <v>73</v>
      </c>
      <c r="D14" s="158" t="s">
        <v>87</v>
      </c>
      <c r="E14" s="158">
        <v>220</v>
      </c>
      <c r="F14" s="160">
        <v>3</v>
      </c>
      <c r="G14" s="154">
        <f t="shared" si="0"/>
        <v>660</v>
      </c>
      <c r="H14" s="179" t="s">
        <v>156</v>
      </c>
    </row>
    <row r="15" spans="1:23">
      <c r="A15" s="177">
        <v>5</v>
      </c>
      <c r="B15" s="161">
        <v>45853</v>
      </c>
      <c r="C15" s="157" t="s">
        <v>72</v>
      </c>
      <c r="D15" s="157" t="s">
        <v>88</v>
      </c>
      <c r="E15" s="157">
        <v>280</v>
      </c>
      <c r="F15" s="159">
        <v>8.5</v>
      </c>
      <c r="G15" s="154">
        <f t="shared" si="0"/>
        <v>2380</v>
      </c>
      <c r="H15" s="180" t="s">
        <v>156</v>
      </c>
    </row>
    <row r="16" spans="1:23">
      <c r="A16" s="176">
        <v>6</v>
      </c>
      <c r="B16" s="129">
        <v>45854</v>
      </c>
      <c r="C16" s="158" t="s">
        <v>72</v>
      </c>
      <c r="D16" s="158" t="s">
        <v>89</v>
      </c>
      <c r="E16" s="158">
        <v>280</v>
      </c>
      <c r="F16" s="160">
        <v>1.5</v>
      </c>
      <c r="G16" s="154">
        <f t="shared" si="0"/>
        <v>420</v>
      </c>
      <c r="H16" s="179" t="s">
        <v>156</v>
      </c>
    </row>
    <row r="17" spans="1:8">
      <c r="A17" s="177">
        <v>7</v>
      </c>
      <c r="B17" s="161">
        <v>45855</v>
      </c>
      <c r="C17" s="157" t="s">
        <v>72</v>
      </c>
      <c r="D17" s="157" t="s">
        <v>90</v>
      </c>
      <c r="E17" s="157">
        <v>280</v>
      </c>
      <c r="F17" s="159">
        <v>22</v>
      </c>
      <c r="G17" s="154">
        <f t="shared" si="0"/>
        <v>6160</v>
      </c>
      <c r="H17" s="180" t="s">
        <v>156</v>
      </c>
    </row>
    <row r="18" spans="1:8">
      <c r="A18" s="176">
        <v>8</v>
      </c>
      <c r="B18" s="129">
        <v>45855</v>
      </c>
      <c r="C18" s="158" t="s">
        <v>71</v>
      </c>
      <c r="D18" s="158" t="s">
        <v>86</v>
      </c>
      <c r="E18" s="158">
        <v>430</v>
      </c>
      <c r="F18" s="160">
        <v>26</v>
      </c>
      <c r="G18" s="154">
        <f t="shared" si="0"/>
        <v>11180</v>
      </c>
      <c r="H18" s="179" t="s">
        <v>156</v>
      </c>
    </row>
    <row r="19" spans="1:8">
      <c r="A19" s="177">
        <v>9</v>
      </c>
      <c r="B19" s="161">
        <v>45855</v>
      </c>
      <c r="C19" s="157" t="s">
        <v>71</v>
      </c>
      <c r="D19" s="157" t="s">
        <v>86</v>
      </c>
      <c r="E19" s="157">
        <v>430</v>
      </c>
      <c r="F19" s="159">
        <v>23.5</v>
      </c>
      <c r="G19" s="154">
        <f t="shared" si="0"/>
        <v>10105</v>
      </c>
      <c r="H19" s="180" t="s">
        <v>156</v>
      </c>
    </row>
    <row r="20" spans="1:8">
      <c r="A20" s="176">
        <v>10</v>
      </c>
      <c r="B20" s="129">
        <v>45855</v>
      </c>
      <c r="C20" s="158" t="s">
        <v>73</v>
      </c>
      <c r="D20" s="158" t="s">
        <v>87</v>
      </c>
      <c r="E20" s="158">
        <v>220</v>
      </c>
      <c r="F20" s="160">
        <v>6</v>
      </c>
      <c r="G20" s="154">
        <f t="shared" si="0"/>
        <v>1320</v>
      </c>
      <c r="H20" s="179" t="s">
        <v>156</v>
      </c>
    </row>
    <row r="21" spans="1:8">
      <c r="A21" s="177">
        <v>11</v>
      </c>
      <c r="B21" s="161">
        <v>45855</v>
      </c>
      <c r="C21" s="157" t="s">
        <v>73</v>
      </c>
      <c r="D21" s="157" t="s">
        <v>91</v>
      </c>
      <c r="E21" s="157">
        <v>220</v>
      </c>
      <c r="F21" s="159">
        <v>2.5</v>
      </c>
      <c r="G21" s="154">
        <f t="shared" si="0"/>
        <v>550</v>
      </c>
      <c r="H21" s="180" t="s">
        <v>156</v>
      </c>
    </row>
    <row r="22" spans="1:8">
      <c r="A22" s="176">
        <v>12</v>
      </c>
      <c r="B22" s="129">
        <v>45856</v>
      </c>
      <c r="C22" s="158" t="s">
        <v>72</v>
      </c>
      <c r="D22" s="158" t="s">
        <v>90</v>
      </c>
      <c r="E22" s="158">
        <v>280</v>
      </c>
      <c r="F22" s="160">
        <v>20</v>
      </c>
      <c r="G22" s="154">
        <f t="shared" si="0"/>
        <v>5600</v>
      </c>
      <c r="H22" s="179" t="s">
        <v>156</v>
      </c>
    </row>
    <row r="23" spans="1:8">
      <c r="A23" s="177">
        <v>13</v>
      </c>
      <c r="B23" s="161">
        <v>45856</v>
      </c>
      <c r="C23" s="157" t="s">
        <v>71</v>
      </c>
      <c r="D23" s="157" t="s">
        <v>86</v>
      </c>
      <c r="E23" s="157">
        <v>430</v>
      </c>
      <c r="F23" s="159">
        <v>14</v>
      </c>
      <c r="G23" s="154">
        <f t="shared" si="0"/>
        <v>6020</v>
      </c>
      <c r="H23" s="180" t="s">
        <v>156</v>
      </c>
    </row>
    <row r="24" spans="1:8">
      <c r="A24" s="176">
        <v>14</v>
      </c>
      <c r="B24" s="129">
        <v>45857</v>
      </c>
      <c r="C24" s="158" t="s">
        <v>72</v>
      </c>
      <c r="D24" s="158" t="s">
        <v>83</v>
      </c>
      <c r="E24" s="158">
        <v>280</v>
      </c>
      <c r="F24" s="160">
        <v>25</v>
      </c>
      <c r="G24" s="154">
        <f t="shared" si="0"/>
        <v>7000</v>
      </c>
      <c r="H24" s="179" t="s">
        <v>156</v>
      </c>
    </row>
    <row r="25" spans="1:8">
      <c r="A25" s="177">
        <v>15</v>
      </c>
      <c r="B25" s="161">
        <v>45857</v>
      </c>
      <c r="C25" s="157" t="s">
        <v>71</v>
      </c>
      <c r="D25" s="157" t="s">
        <v>86</v>
      </c>
      <c r="E25" s="157">
        <v>430</v>
      </c>
      <c r="F25" s="159">
        <v>14</v>
      </c>
      <c r="G25" s="154">
        <f t="shared" si="0"/>
        <v>6020</v>
      </c>
      <c r="H25" s="180" t="s">
        <v>156</v>
      </c>
    </row>
    <row r="26" spans="1:8">
      <c r="A26" s="176">
        <v>16</v>
      </c>
      <c r="B26" s="129">
        <v>45857</v>
      </c>
      <c r="C26" s="158" t="s">
        <v>71</v>
      </c>
      <c r="D26" s="158" t="s">
        <v>92</v>
      </c>
      <c r="E26" s="158">
        <v>430</v>
      </c>
      <c r="F26" s="160">
        <v>24</v>
      </c>
      <c r="G26" s="154">
        <f t="shared" si="0"/>
        <v>10320</v>
      </c>
      <c r="H26" s="179" t="s">
        <v>156</v>
      </c>
    </row>
    <row r="27" spans="1:8">
      <c r="A27" s="177">
        <v>17</v>
      </c>
      <c r="B27" s="161">
        <v>45858</v>
      </c>
      <c r="C27" s="157" t="s">
        <v>71</v>
      </c>
      <c r="D27" s="157" t="s">
        <v>93</v>
      </c>
      <c r="E27" s="157">
        <v>430</v>
      </c>
      <c r="F27" s="159">
        <v>22</v>
      </c>
      <c r="G27" s="154">
        <f t="shared" si="0"/>
        <v>9460</v>
      </c>
      <c r="H27" s="180" t="s">
        <v>156</v>
      </c>
    </row>
    <row r="28" spans="1:8">
      <c r="A28" s="176">
        <v>18</v>
      </c>
      <c r="B28" s="129">
        <v>45859</v>
      </c>
      <c r="C28" s="158" t="s">
        <v>71</v>
      </c>
      <c r="D28" s="158" t="s">
        <v>94</v>
      </c>
      <c r="E28" s="158">
        <v>430</v>
      </c>
      <c r="F28" s="160">
        <v>16</v>
      </c>
      <c r="G28" s="154">
        <f t="shared" si="0"/>
        <v>6880</v>
      </c>
      <c r="H28" s="179" t="s">
        <v>156</v>
      </c>
    </row>
    <row r="29" spans="1:8">
      <c r="A29" s="177">
        <v>19</v>
      </c>
      <c r="B29" s="161">
        <v>45859</v>
      </c>
      <c r="C29" s="157" t="s">
        <v>71</v>
      </c>
      <c r="D29" s="157" t="s">
        <v>94</v>
      </c>
      <c r="E29" s="157">
        <v>430</v>
      </c>
      <c r="F29" s="159">
        <v>13</v>
      </c>
      <c r="G29" s="154">
        <f t="shared" si="0"/>
        <v>5590</v>
      </c>
      <c r="H29" s="180" t="s">
        <v>156</v>
      </c>
    </row>
    <row r="30" spans="1:8">
      <c r="A30" s="176">
        <v>20</v>
      </c>
      <c r="B30" s="129">
        <v>45859</v>
      </c>
      <c r="C30" s="158" t="s">
        <v>73</v>
      </c>
      <c r="D30" s="158" t="s">
        <v>95</v>
      </c>
      <c r="E30" s="158">
        <v>220</v>
      </c>
      <c r="F30" s="160">
        <v>3.5</v>
      </c>
      <c r="G30" s="154">
        <f t="shared" si="0"/>
        <v>770</v>
      </c>
      <c r="H30" s="179" t="s">
        <v>156</v>
      </c>
    </row>
    <row r="31" spans="1:8">
      <c r="A31" s="177">
        <v>21</v>
      </c>
      <c r="B31" s="161">
        <v>45860</v>
      </c>
      <c r="C31" s="157" t="s">
        <v>71</v>
      </c>
      <c r="D31" s="157" t="s">
        <v>93</v>
      </c>
      <c r="E31" s="157">
        <v>430</v>
      </c>
      <c r="F31" s="159">
        <v>21</v>
      </c>
      <c r="G31" s="154">
        <f t="shared" si="0"/>
        <v>9030</v>
      </c>
      <c r="H31" s="180" t="s">
        <v>156</v>
      </c>
    </row>
    <row r="32" spans="1:8">
      <c r="A32" s="176">
        <v>22</v>
      </c>
      <c r="B32" s="129">
        <v>45861</v>
      </c>
      <c r="C32" s="158" t="s">
        <v>73</v>
      </c>
      <c r="D32" s="158" t="s">
        <v>96</v>
      </c>
      <c r="E32" s="158">
        <v>220</v>
      </c>
      <c r="F32" s="160">
        <v>6</v>
      </c>
      <c r="G32" s="154">
        <f t="shared" si="0"/>
        <v>1320</v>
      </c>
      <c r="H32" s="179" t="s">
        <v>156</v>
      </c>
    </row>
    <row r="33" spans="1:8">
      <c r="A33" s="177">
        <v>23</v>
      </c>
      <c r="B33" s="161">
        <v>45861</v>
      </c>
      <c r="C33" s="157" t="s">
        <v>73</v>
      </c>
      <c r="D33" s="157" t="s">
        <v>96</v>
      </c>
      <c r="E33" s="157">
        <v>220</v>
      </c>
      <c r="F33" s="159">
        <v>4.5</v>
      </c>
      <c r="G33" s="154">
        <f t="shared" si="0"/>
        <v>990</v>
      </c>
      <c r="H33" s="180" t="s">
        <v>156</v>
      </c>
    </row>
    <row r="34" spans="1:8">
      <c r="A34" s="176">
        <v>24</v>
      </c>
      <c r="B34" s="129">
        <v>45862</v>
      </c>
      <c r="C34" s="158" t="s">
        <v>72</v>
      </c>
      <c r="D34" s="158" t="s">
        <v>97</v>
      </c>
      <c r="E34" s="158">
        <v>280</v>
      </c>
      <c r="F34" s="160">
        <v>17</v>
      </c>
      <c r="G34" s="154">
        <f t="shared" si="0"/>
        <v>4760</v>
      </c>
      <c r="H34" s="179" t="s">
        <v>156</v>
      </c>
    </row>
    <row r="35" spans="1:8">
      <c r="A35" s="177">
        <v>25</v>
      </c>
      <c r="B35" s="161">
        <v>45862</v>
      </c>
      <c r="C35" s="157" t="s">
        <v>73</v>
      </c>
      <c r="D35" s="157" t="s">
        <v>98</v>
      </c>
      <c r="E35" s="157">
        <v>220</v>
      </c>
      <c r="F35" s="159">
        <v>3</v>
      </c>
      <c r="G35" s="154">
        <f t="shared" si="0"/>
        <v>660</v>
      </c>
      <c r="H35" s="180" t="s">
        <v>156</v>
      </c>
    </row>
    <row r="36" spans="1:8">
      <c r="A36" s="176">
        <v>26</v>
      </c>
      <c r="B36" s="129">
        <v>45864</v>
      </c>
      <c r="C36" s="158" t="s">
        <v>72</v>
      </c>
      <c r="D36" s="158" t="s">
        <v>83</v>
      </c>
      <c r="E36" s="158">
        <v>280</v>
      </c>
      <c r="F36" s="160">
        <v>14</v>
      </c>
      <c r="G36" s="154">
        <f t="shared" si="0"/>
        <v>3920</v>
      </c>
      <c r="H36" s="179" t="s">
        <v>156</v>
      </c>
    </row>
    <row r="37" spans="1:8">
      <c r="A37" s="177">
        <v>27</v>
      </c>
      <c r="B37" s="161">
        <v>45864</v>
      </c>
      <c r="C37" s="157" t="s">
        <v>71</v>
      </c>
      <c r="D37" s="157" t="s">
        <v>78</v>
      </c>
      <c r="E37" s="157">
        <v>430</v>
      </c>
      <c r="F37" s="159">
        <v>14</v>
      </c>
      <c r="G37" s="154">
        <f t="shared" si="0"/>
        <v>6020</v>
      </c>
      <c r="H37" s="180" t="s">
        <v>156</v>
      </c>
    </row>
    <row r="38" spans="1:8">
      <c r="A38" s="176">
        <v>28</v>
      </c>
      <c r="B38" s="129">
        <v>45864</v>
      </c>
      <c r="C38" s="158" t="s">
        <v>70</v>
      </c>
      <c r="D38" s="158" t="s">
        <v>78</v>
      </c>
      <c r="E38" s="158">
        <v>370</v>
      </c>
      <c r="F38" s="160">
        <v>24</v>
      </c>
      <c r="G38" s="154">
        <f t="shared" si="0"/>
        <v>8880</v>
      </c>
      <c r="H38" s="179" t="s">
        <v>156</v>
      </c>
    </row>
    <row r="39" spans="1:8">
      <c r="A39" s="177">
        <v>29</v>
      </c>
      <c r="B39" s="161">
        <v>45864</v>
      </c>
      <c r="C39" s="157" t="s">
        <v>71</v>
      </c>
      <c r="D39" s="157" t="s">
        <v>99</v>
      </c>
      <c r="E39" s="157">
        <v>430</v>
      </c>
      <c r="F39" s="159">
        <v>24</v>
      </c>
      <c r="G39" s="154">
        <f t="shared" si="0"/>
        <v>10320</v>
      </c>
      <c r="H39" s="180" t="s">
        <v>156</v>
      </c>
    </row>
    <row r="40" spans="1:8">
      <c r="A40" s="176">
        <v>30</v>
      </c>
      <c r="B40" s="129">
        <v>45865</v>
      </c>
      <c r="C40" s="158" t="s">
        <v>72</v>
      </c>
      <c r="D40" s="158" t="s">
        <v>83</v>
      </c>
      <c r="E40" s="158">
        <v>280</v>
      </c>
      <c r="F40" s="160">
        <v>10</v>
      </c>
      <c r="G40" s="154">
        <f t="shared" si="0"/>
        <v>2800</v>
      </c>
      <c r="H40" s="179" t="s">
        <v>156</v>
      </c>
    </row>
    <row r="41" spans="1:8">
      <c r="A41" s="177">
        <v>31</v>
      </c>
      <c r="B41" s="161">
        <v>45865</v>
      </c>
      <c r="C41" s="157" t="s">
        <v>73</v>
      </c>
      <c r="D41" s="157" t="s">
        <v>78</v>
      </c>
      <c r="E41" s="157">
        <v>220</v>
      </c>
      <c r="F41" s="159">
        <v>4</v>
      </c>
      <c r="G41" s="154">
        <f t="shared" si="0"/>
        <v>880</v>
      </c>
      <c r="H41" s="180" t="s">
        <v>156</v>
      </c>
    </row>
    <row r="42" spans="1:8">
      <c r="A42" s="176">
        <v>32</v>
      </c>
      <c r="B42" s="129">
        <v>45865</v>
      </c>
      <c r="C42" s="158" t="s">
        <v>71</v>
      </c>
      <c r="D42" s="158" t="s">
        <v>100</v>
      </c>
      <c r="E42" s="158">
        <v>430</v>
      </c>
      <c r="F42" s="160">
        <v>31</v>
      </c>
      <c r="G42" s="154">
        <f t="shared" si="0"/>
        <v>13330</v>
      </c>
      <c r="H42" s="179" t="s">
        <v>156</v>
      </c>
    </row>
    <row r="43" spans="1:8">
      <c r="A43" s="177">
        <v>33</v>
      </c>
      <c r="B43" s="161">
        <v>45865</v>
      </c>
      <c r="C43" s="157" t="s">
        <v>71</v>
      </c>
      <c r="D43" s="157" t="s">
        <v>80</v>
      </c>
      <c r="E43" s="157">
        <v>430</v>
      </c>
      <c r="F43" s="159">
        <v>39</v>
      </c>
      <c r="G43" s="154">
        <f t="shared" si="0"/>
        <v>16770</v>
      </c>
      <c r="H43" s="180" t="s">
        <v>156</v>
      </c>
    </row>
    <row r="44" spans="1:8">
      <c r="A44" s="176">
        <v>34</v>
      </c>
      <c r="B44" s="129">
        <v>45866</v>
      </c>
      <c r="C44" s="158" t="s">
        <v>72</v>
      </c>
      <c r="D44" s="158" t="s">
        <v>83</v>
      </c>
      <c r="E44" s="158">
        <v>280</v>
      </c>
      <c r="F44" s="160">
        <v>10</v>
      </c>
      <c r="G44" s="154">
        <f t="shared" si="0"/>
        <v>2800</v>
      </c>
      <c r="H44" s="179" t="s">
        <v>156</v>
      </c>
    </row>
    <row r="45" spans="1:8">
      <c r="A45" s="177">
        <v>35</v>
      </c>
      <c r="B45" s="161">
        <v>45866</v>
      </c>
      <c r="C45" s="157" t="s">
        <v>71</v>
      </c>
      <c r="D45" s="157" t="s">
        <v>101</v>
      </c>
      <c r="E45" s="157">
        <v>430</v>
      </c>
      <c r="F45" s="159">
        <v>13</v>
      </c>
      <c r="G45" s="154">
        <f t="shared" si="0"/>
        <v>5590</v>
      </c>
      <c r="H45" s="180" t="s">
        <v>156</v>
      </c>
    </row>
    <row r="46" spans="1:8">
      <c r="A46" s="176">
        <v>36</v>
      </c>
      <c r="B46" s="129">
        <v>45866</v>
      </c>
      <c r="C46" s="158" t="s">
        <v>73</v>
      </c>
      <c r="D46" s="158" t="s">
        <v>102</v>
      </c>
      <c r="E46" s="158">
        <v>220</v>
      </c>
      <c r="F46" s="160">
        <v>6</v>
      </c>
      <c r="G46" s="154">
        <f t="shared" si="0"/>
        <v>1320</v>
      </c>
      <c r="H46" s="179" t="s">
        <v>156</v>
      </c>
    </row>
    <row r="47" spans="1:8">
      <c r="A47" s="177">
        <v>37</v>
      </c>
      <c r="B47" s="161">
        <v>45867</v>
      </c>
      <c r="C47" s="157" t="s">
        <v>73</v>
      </c>
      <c r="D47" s="157" t="s">
        <v>80</v>
      </c>
      <c r="E47" s="157">
        <v>220</v>
      </c>
      <c r="F47" s="159">
        <v>2.5</v>
      </c>
      <c r="G47" s="154">
        <f t="shared" si="0"/>
        <v>550</v>
      </c>
      <c r="H47" s="180" t="s">
        <v>156</v>
      </c>
    </row>
    <row r="48" spans="1:8">
      <c r="A48" s="176">
        <v>38</v>
      </c>
      <c r="B48" s="129">
        <v>45867</v>
      </c>
      <c r="C48" s="158" t="s">
        <v>73</v>
      </c>
      <c r="D48" s="158" t="s">
        <v>78</v>
      </c>
      <c r="E48" s="158">
        <v>220</v>
      </c>
      <c r="F48" s="160">
        <v>4.5</v>
      </c>
      <c r="G48" s="154">
        <f t="shared" si="0"/>
        <v>990</v>
      </c>
      <c r="H48" s="179" t="s">
        <v>156</v>
      </c>
    </row>
    <row r="49" spans="1:8">
      <c r="A49" s="177">
        <v>39</v>
      </c>
      <c r="B49" s="161">
        <v>45868</v>
      </c>
      <c r="C49" s="157" t="s">
        <v>72</v>
      </c>
      <c r="D49" s="157" t="s">
        <v>83</v>
      </c>
      <c r="E49" s="157">
        <v>280</v>
      </c>
      <c r="F49" s="159">
        <v>17</v>
      </c>
      <c r="G49" s="154">
        <f t="shared" si="0"/>
        <v>4760</v>
      </c>
      <c r="H49" s="180" t="s">
        <v>156</v>
      </c>
    </row>
    <row r="50" spans="1:8">
      <c r="A50" s="176">
        <v>40</v>
      </c>
      <c r="B50" s="129">
        <v>45869</v>
      </c>
      <c r="C50" s="158" t="s">
        <v>70</v>
      </c>
      <c r="D50" s="158" t="s">
        <v>78</v>
      </c>
      <c r="E50" s="158">
        <v>370</v>
      </c>
      <c r="F50" s="160">
        <v>25</v>
      </c>
      <c r="G50" s="154">
        <f t="shared" si="0"/>
        <v>9250</v>
      </c>
      <c r="H50" s="179" t="s">
        <v>156</v>
      </c>
    </row>
    <row r="51" spans="1:8">
      <c r="A51" s="177">
        <v>41</v>
      </c>
      <c r="B51" s="161">
        <v>45869</v>
      </c>
      <c r="C51" s="157" t="s">
        <v>71</v>
      </c>
      <c r="D51" s="157" t="s">
        <v>99</v>
      </c>
      <c r="E51" s="157">
        <v>430</v>
      </c>
      <c r="F51" s="159">
        <v>19</v>
      </c>
      <c r="G51" s="154">
        <f t="shared" si="0"/>
        <v>8170</v>
      </c>
      <c r="H51" s="180" t="s">
        <v>156</v>
      </c>
    </row>
    <row r="52" spans="1:8">
      <c r="A52" s="176">
        <v>42</v>
      </c>
      <c r="B52" s="129">
        <v>45869</v>
      </c>
      <c r="C52" s="158" t="s">
        <v>73</v>
      </c>
      <c r="D52" s="158" t="s">
        <v>78</v>
      </c>
      <c r="E52" s="158">
        <v>220</v>
      </c>
      <c r="F52" s="160">
        <v>5</v>
      </c>
      <c r="G52" s="154">
        <f t="shared" si="0"/>
        <v>1100</v>
      </c>
      <c r="H52" s="179" t="s">
        <v>156</v>
      </c>
    </row>
    <row r="53" spans="1:8">
      <c r="A53" s="177">
        <v>43</v>
      </c>
      <c r="B53" s="161">
        <v>45869</v>
      </c>
      <c r="C53" s="157" t="s">
        <v>73</v>
      </c>
      <c r="D53" s="157" t="s">
        <v>78</v>
      </c>
      <c r="E53" s="157">
        <v>220</v>
      </c>
      <c r="F53" s="159">
        <v>3</v>
      </c>
      <c r="G53" s="154">
        <f t="shared" si="0"/>
        <v>660</v>
      </c>
      <c r="H53" s="180" t="s">
        <v>156</v>
      </c>
    </row>
    <row r="54" spans="1:8">
      <c r="A54" s="176">
        <v>44</v>
      </c>
      <c r="B54" s="129">
        <v>45869</v>
      </c>
      <c r="C54" s="158" t="s">
        <v>72</v>
      </c>
      <c r="D54" s="158" t="s">
        <v>83</v>
      </c>
      <c r="E54" s="158">
        <v>280</v>
      </c>
      <c r="F54" s="160">
        <v>19</v>
      </c>
      <c r="G54" s="154">
        <f t="shared" si="0"/>
        <v>5320</v>
      </c>
      <c r="H54" s="179" t="s">
        <v>156</v>
      </c>
    </row>
    <row r="55" spans="1:8">
      <c r="A55" s="177">
        <v>45</v>
      </c>
      <c r="B55" s="161">
        <v>45870</v>
      </c>
      <c r="C55" s="157" t="s">
        <v>71</v>
      </c>
      <c r="D55" s="157" t="s">
        <v>101</v>
      </c>
      <c r="E55" s="157">
        <v>430</v>
      </c>
      <c r="F55" s="159">
        <v>29</v>
      </c>
      <c r="G55" s="154">
        <f t="shared" si="0"/>
        <v>12470</v>
      </c>
      <c r="H55" s="180" t="s">
        <v>156</v>
      </c>
    </row>
    <row r="56" spans="1:8">
      <c r="A56" s="176">
        <v>46</v>
      </c>
      <c r="B56" s="129">
        <v>45870</v>
      </c>
      <c r="C56" s="158" t="s">
        <v>71</v>
      </c>
      <c r="D56" s="158" t="s">
        <v>99</v>
      </c>
      <c r="E56" s="158">
        <v>430</v>
      </c>
      <c r="F56" s="160">
        <v>21</v>
      </c>
      <c r="G56" s="154">
        <f t="shared" si="0"/>
        <v>9030</v>
      </c>
      <c r="H56" s="179" t="s">
        <v>156</v>
      </c>
    </row>
    <row r="57" spans="1:8">
      <c r="A57" s="177">
        <v>47</v>
      </c>
      <c r="B57" s="161">
        <v>45871</v>
      </c>
      <c r="C57" s="157" t="s">
        <v>70</v>
      </c>
      <c r="D57" s="157" t="s">
        <v>81</v>
      </c>
      <c r="E57" s="157">
        <v>370</v>
      </c>
      <c r="F57" s="159">
        <v>23</v>
      </c>
      <c r="G57" s="154">
        <f t="shared" si="0"/>
        <v>8510</v>
      </c>
      <c r="H57" s="180" t="s">
        <v>156</v>
      </c>
    </row>
    <row r="58" spans="1:8">
      <c r="A58" s="176">
        <v>48</v>
      </c>
      <c r="B58" s="129">
        <v>45871</v>
      </c>
      <c r="C58" s="158" t="s">
        <v>72</v>
      </c>
      <c r="D58" s="158" t="s">
        <v>103</v>
      </c>
      <c r="E58" s="158">
        <v>280</v>
      </c>
      <c r="F58" s="160">
        <v>7</v>
      </c>
      <c r="G58" s="154">
        <f t="shared" si="0"/>
        <v>1960</v>
      </c>
      <c r="H58" s="179" t="s">
        <v>156</v>
      </c>
    </row>
    <row r="59" spans="1:8">
      <c r="A59" s="177">
        <v>49</v>
      </c>
      <c r="B59" s="161">
        <v>45871</v>
      </c>
      <c r="C59" s="157" t="s">
        <v>73</v>
      </c>
      <c r="D59" s="157" t="s">
        <v>104</v>
      </c>
      <c r="E59" s="157">
        <v>220</v>
      </c>
      <c r="F59" s="159">
        <v>3.5</v>
      </c>
      <c r="G59" s="154">
        <f t="shared" si="0"/>
        <v>770</v>
      </c>
      <c r="H59" s="180" t="s">
        <v>156</v>
      </c>
    </row>
    <row r="60" spans="1:8">
      <c r="A60" s="176">
        <v>50</v>
      </c>
      <c r="B60" s="129">
        <v>45871</v>
      </c>
      <c r="C60" s="158" t="s">
        <v>71</v>
      </c>
      <c r="D60" s="158" t="s">
        <v>105</v>
      </c>
      <c r="E60" s="158">
        <v>430</v>
      </c>
      <c r="F60" s="160">
        <v>38</v>
      </c>
      <c r="G60" s="154">
        <f t="shared" si="0"/>
        <v>16340</v>
      </c>
      <c r="H60" s="179" t="s">
        <v>156</v>
      </c>
    </row>
    <row r="61" spans="1:8">
      <c r="A61" s="177">
        <v>51</v>
      </c>
      <c r="B61" s="161">
        <v>45872</v>
      </c>
      <c r="C61" s="157" t="s">
        <v>72</v>
      </c>
      <c r="D61" s="157" t="s">
        <v>106</v>
      </c>
      <c r="E61" s="157">
        <v>280</v>
      </c>
      <c r="F61" s="159">
        <v>10</v>
      </c>
      <c r="G61" s="154">
        <f t="shared" si="0"/>
        <v>2800</v>
      </c>
      <c r="H61" s="180" t="s">
        <v>156</v>
      </c>
    </row>
    <row r="62" spans="1:8">
      <c r="A62" s="176">
        <v>52</v>
      </c>
      <c r="B62" s="129">
        <v>45872</v>
      </c>
      <c r="C62" s="158" t="s">
        <v>72</v>
      </c>
      <c r="D62" s="158" t="s">
        <v>106</v>
      </c>
      <c r="E62" s="158">
        <v>280</v>
      </c>
      <c r="F62" s="160">
        <v>22</v>
      </c>
      <c r="G62" s="154">
        <f t="shared" si="0"/>
        <v>6160</v>
      </c>
      <c r="H62" s="179" t="s">
        <v>156</v>
      </c>
    </row>
    <row r="63" spans="1:8">
      <c r="A63" s="177">
        <v>53</v>
      </c>
      <c r="B63" s="161">
        <v>45873</v>
      </c>
      <c r="C63" s="157" t="s">
        <v>72</v>
      </c>
      <c r="D63" s="157" t="s">
        <v>106</v>
      </c>
      <c r="E63" s="157">
        <v>280</v>
      </c>
      <c r="F63" s="159">
        <v>7</v>
      </c>
      <c r="G63" s="154">
        <f t="shared" si="0"/>
        <v>1960</v>
      </c>
      <c r="H63" s="180" t="s">
        <v>156</v>
      </c>
    </row>
    <row r="64" spans="1:8">
      <c r="A64" s="176">
        <v>54</v>
      </c>
      <c r="B64" s="129">
        <v>45873</v>
      </c>
      <c r="C64" s="158" t="s">
        <v>71</v>
      </c>
      <c r="D64" s="158" t="s">
        <v>107</v>
      </c>
      <c r="E64" s="158">
        <v>430</v>
      </c>
      <c r="F64" s="160">
        <v>26</v>
      </c>
      <c r="G64" s="154">
        <f t="shared" si="0"/>
        <v>11180</v>
      </c>
      <c r="H64" s="179" t="s">
        <v>156</v>
      </c>
    </row>
    <row r="65" spans="1:8">
      <c r="A65" s="177">
        <v>55</v>
      </c>
      <c r="B65" s="161">
        <v>45874</v>
      </c>
      <c r="C65" s="157" t="s">
        <v>72</v>
      </c>
      <c r="D65" s="157" t="s">
        <v>83</v>
      </c>
      <c r="E65" s="157">
        <v>280</v>
      </c>
      <c r="F65" s="159">
        <v>22</v>
      </c>
      <c r="G65" s="154">
        <f t="shared" si="0"/>
        <v>6160</v>
      </c>
      <c r="H65" s="180" t="s">
        <v>156</v>
      </c>
    </row>
    <row r="66" spans="1:8">
      <c r="A66" s="176">
        <v>56</v>
      </c>
      <c r="B66" s="129">
        <v>45874</v>
      </c>
      <c r="C66" s="158" t="s">
        <v>73</v>
      </c>
      <c r="D66" s="158" t="s">
        <v>78</v>
      </c>
      <c r="E66" s="158">
        <v>220</v>
      </c>
      <c r="F66" s="160">
        <v>4</v>
      </c>
      <c r="G66" s="154">
        <f t="shared" si="0"/>
        <v>880</v>
      </c>
      <c r="H66" s="179" t="s">
        <v>156</v>
      </c>
    </row>
    <row r="67" spans="1:8">
      <c r="A67" s="177">
        <v>57</v>
      </c>
      <c r="B67" s="161">
        <v>45874</v>
      </c>
      <c r="C67" s="157" t="s">
        <v>73</v>
      </c>
      <c r="D67" s="157" t="s">
        <v>78</v>
      </c>
      <c r="E67" s="157">
        <v>220</v>
      </c>
      <c r="F67" s="159">
        <v>6</v>
      </c>
      <c r="G67" s="154">
        <f t="shared" si="0"/>
        <v>1320</v>
      </c>
      <c r="H67" s="180" t="s">
        <v>156</v>
      </c>
    </row>
    <row r="68" spans="1:8">
      <c r="A68" s="176">
        <v>58</v>
      </c>
      <c r="B68" s="129">
        <v>45875</v>
      </c>
      <c r="C68" s="158" t="s">
        <v>72</v>
      </c>
      <c r="D68" s="158" t="s">
        <v>83</v>
      </c>
      <c r="E68" s="158">
        <v>280</v>
      </c>
      <c r="F68" s="160">
        <v>22</v>
      </c>
      <c r="G68" s="154">
        <f t="shared" ref="G68:G74" si="2">IF(AND(D68="",E68=""),"-",F68*E68)</f>
        <v>6160</v>
      </c>
      <c r="H68" s="179" t="s">
        <v>156</v>
      </c>
    </row>
    <row r="69" spans="1:8">
      <c r="A69" s="177">
        <v>59</v>
      </c>
      <c r="B69" s="161">
        <v>45875</v>
      </c>
      <c r="C69" s="157" t="s">
        <v>73</v>
      </c>
      <c r="D69" s="157" t="s">
        <v>78</v>
      </c>
      <c r="E69" s="157">
        <v>220</v>
      </c>
      <c r="F69" s="159">
        <v>4</v>
      </c>
      <c r="G69" s="154">
        <f t="shared" si="2"/>
        <v>880</v>
      </c>
      <c r="H69" s="180" t="s">
        <v>156</v>
      </c>
    </row>
    <row r="70" spans="1:8">
      <c r="A70" s="176">
        <v>60</v>
      </c>
      <c r="B70" s="129">
        <v>45875</v>
      </c>
      <c r="C70" s="158" t="s">
        <v>73</v>
      </c>
      <c r="D70" s="158" t="s">
        <v>78</v>
      </c>
      <c r="E70" s="158">
        <v>220</v>
      </c>
      <c r="F70" s="160">
        <v>5.5</v>
      </c>
      <c r="G70" s="154">
        <f t="shared" si="2"/>
        <v>1210</v>
      </c>
      <c r="H70" s="179" t="s">
        <v>156</v>
      </c>
    </row>
    <row r="71" spans="1:8">
      <c r="A71" s="177">
        <v>61</v>
      </c>
      <c r="B71" s="161">
        <v>45875</v>
      </c>
      <c r="C71" s="157" t="s">
        <v>71</v>
      </c>
      <c r="D71" s="157" t="s">
        <v>108</v>
      </c>
      <c r="E71" s="157">
        <v>430</v>
      </c>
      <c r="F71" s="159">
        <v>17</v>
      </c>
      <c r="G71" s="154">
        <f t="shared" si="2"/>
        <v>7310</v>
      </c>
      <c r="H71" s="180" t="s">
        <v>156</v>
      </c>
    </row>
    <row r="72" spans="1:8">
      <c r="A72" s="176">
        <v>62</v>
      </c>
      <c r="B72" s="129">
        <v>45876</v>
      </c>
      <c r="C72" s="158" t="s">
        <v>72</v>
      </c>
      <c r="D72" s="158" t="s">
        <v>109</v>
      </c>
      <c r="E72" s="158">
        <v>280</v>
      </c>
      <c r="F72" s="160">
        <v>26.5</v>
      </c>
      <c r="G72" s="154">
        <f t="shared" si="2"/>
        <v>7420</v>
      </c>
      <c r="H72" s="179" t="s">
        <v>156</v>
      </c>
    </row>
    <row r="73" spans="1:8">
      <c r="A73" s="177">
        <v>63</v>
      </c>
      <c r="B73" s="161">
        <v>45876</v>
      </c>
      <c r="C73" s="157" t="s">
        <v>73</v>
      </c>
      <c r="D73" s="157" t="s">
        <v>102</v>
      </c>
      <c r="E73" s="157">
        <v>220</v>
      </c>
      <c r="F73" s="159">
        <v>5.5</v>
      </c>
      <c r="G73" s="154">
        <f t="shared" si="2"/>
        <v>1210</v>
      </c>
      <c r="H73" s="180" t="s">
        <v>156</v>
      </c>
    </row>
    <row r="74" spans="1:8">
      <c r="A74" s="188">
        <v>64</v>
      </c>
      <c r="B74" s="189">
        <v>45876</v>
      </c>
      <c r="C74" s="190" t="s">
        <v>71</v>
      </c>
      <c r="D74" s="190" t="s">
        <v>108</v>
      </c>
      <c r="E74" s="190">
        <v>430</v>
      </c>
      <c r="F74" s="191">
        <v>40.5</v>
      </c>
      <c r="G74" s="192">
        <f t="shared" si="2"/>
        <v>17415</v>
      </c>
      <c r="H74" s="193" t="s">
        <v>156</v>
      </c>
    </row>
  </sheetData>
  <mergeCells count="2">
    <mergeCell ref="A1:H1"/>
    <mergeCell ref="J1:W1"/>
  </mergeCells>
  <dataValidations count="1">
    <dataValidation type="list" allowBlank="1" showInputMessage="1" showErrorMessage="1" sqref="C3:C4" xr:uid="{48A40161-F2C9-4D42-84BE-B9FA48978BF7}">
      <formula1>Class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86EB-5B53-4B77-AD88-7CB2CDE0101F}">
  <sheetPr>
    <tabColor theme="8" tint="0.59999389629810485"/>
  </sheetPr>
  <dimension ref="A1:I36"/>
  <sheetViews>
    <sheetView workbookViewId="0">
      <selection activeCell="D24" sqref="D24"/>
    </sheetView>
  </sheetViews>
  <sheetFormatPr defaultRowHeight="15"/>
  <cols>
    <col min="1" max="1" width="7.7109375" customWidth="1"/>
    <col min="2" max="2" width="10.85546875" bestFit="1" customWidth="1"/>
    <col min="3" max="5" width="17.140625" customWidth="1"/>
    <col min="6" max="6" width="28.140625" customWidth="1"/>
    <col min="7" max="7" width="33.42578125" customWidth="1"/>
    <col min="8" max="8" width="20.28515625" customWidth="1"/>
    <col min="9" max="9" width="39.7109375" bestFit="1" customWidth="1"/>
  </cols>
  <sheetData>
    <row r="1" spans="1:9" ht="43.5" customHeight="1" thickBot="1">
      <c r="A1" s="108" t="s">
        <v>153</v>
      </c>
      <c r="B1" s="109"/>
      <c r="C1" s="109"/>
      <c r="D1" s="109"/>
      <c r="E1" s="109"/>
      <c r="F1" s="109"/>
      <c r="G1" s="109"/>
      <c r="H1" s="109"/>
      <c r="I1" s="110"/>
    </row>
    <row r="2" spans="1:9" ht="36" customHeight="1" thickBot="1">
      <c r="A2" s="215" t="s">
        <v>37</v>
      </c>
      <c r="B2" s="216" t="s">
        <v>38</v>
      </c>
      <c r="C2" s="217" t="s">
        <v>39</v>
      </c>
      <c r="D2" s="217" t="s">
        <v>59</v>
      </c>
      <c r="E2" s="217" t="s">
        <v>57</v>
      </c>
      <c r="F2" s="217" t="s">
        <v>60</v>
      </c>
      <c r="G2" s="217" t="s">
        <v>157</v>
      </c>
      <c r="H2" s="217" t="s">
        <v>61</v>
      </c>
      <c r="I2" s="218" t="s">
        <v>2</v>
      </c>
    </row>
    <row r="3" spans="1:9">
      <c r="A3" s="208">
        <v>1</v>
      </c>
      <c r="B3" s="115">
        <v>45862</v>
      </c>
      <c r="C3" s="116" t="s">
        <v>52</v>
      </c>
      <c r="D3" s="152">
        <f>VLOOKUP(C3,$D$32:$F$36,2,0)</f>
        <v>0.99399999999999999</v>
      </c>
      <c r="E3" s="117"/>
      <c r="F3" s="118"/>
      <c r="G3" s="153" t="str">
        <f>IF(E3="","-",E3)</f>
        <v>-</v>
      </c>
      <c r="H3" s="155" t="str">
        <f>IF(E3="","-",E3*D3)</f>
        <v>-</v>
      </c>
      <c r="I3" s="210" t="s">
        <v>64</v>
      </c>
    </row>
    <row r="4" spans="1:9">
      <c r="A4" s="209">
        <v>2</v>
      </c>
      <c r="B4" s="120">
        <v>45862</v>
      </c>
      <c r="C4" s="121" t="s">
        <v>54</v>
      </c>
      <c r="D4" s="152">
        <f t="shared" ref="D4:D14" si="0">VLOOKUP(C4,$D$32:$F$36,2,0)</f>
        <v>2.2349999999999999</v>
      </c>
      <c r="E4" s="123"/>
      <c r="F4" s="124"/>
      <c r="G4" s="153" t="str">
        <f t="shared" ref="G4:G14" si="1">IF(E4="","-",E4)</f>
        <v>-</v>
      </c>
      <c r="H4" s="156" t="str">
        <f t="shared" ref="H4:H14" si="2">IF(E4="","-",E4*D4)</f>
        <v>-</v>
      </c>
      <c r="I4" s="211" t="s">
        <v>64</v>
      </c>
    </row>
    <row r="5" spans="1:9">
      <c r="A5" s="209">
        <v>3</v>
      </c>
      <c r="B5" s="125">
        <v>45862</v>
      </c>
      <c r="C5" s="126" t="s">
        <v>55</v>
      </c>
      <c r="D5" s="152">
        <f t="shared" si="0"/>
        <v>3.9780000000000002</v>
      </c>
      <c r="E5" s="127"/>
      <c r="F5" s="128"/>
      <c r="G5" s="153" t="str">
        <f t="shared" si="1"/>
        <v>-</v>
      </c>
      <c r="H5" s="156" t="str">
        <f t="shared" si="2"/>
        <v>-</v>
      </c>
      <c r="I5" s="212" t="s">
        <v>64</v>
      </c>
    </row>
    <row r="6" spans="1:9">
      <c r="A6" s="209">
        <v>4</v>
      </c>
      <c r="B6" s="129">
        <v>45876</v>
      </c>
      <c r="C6" s="121" t="s">
        <v>52</v>
      </c>
      <c r="D6" s="152">
        <f t="shared" si="0"/>
        <v>0.99399999999999999</v>
      </c>
      <c r="E6" s="123">
        <v>757.4</v>
      </c>
      <c r="F6" s="124">
        <v>1</v>
      </c>
      <c r="G6" s="153">
        <f t="shared" si="1"/>
        <v>757.4</v>
      </c>
      <c r="H6" s="156">
        <f t="shared" si="2"/>
        <v>752.85559999999998</v>
      </c>
      <c r="I6" s="213" t="s">
        <v>146</v>
      </c>
    </row>
    <row r="7" spans="1:9">
      <c r="A7" s="209">
        <v>5</v>
      </c>
      <c r="B7" s="130">
        <v>45876</v>
      </c>
      <c r="C7" s="126" t="s">
        <v>52</v>
      </c>
      <c r="D7" s="152">
        <f t="shared" si="0"/>
        <v>0.99399999999999999</v>
      </c>
      <c r="E7" s="127">
        <v>337.7</v>
      </c>
      <c r="F7" s="128">
        <v>1</v>
      </c>
      <c r="G7" s="153">
        <f t="shared" si="1"/>
        <v>337.7</v>
      </c>
      <c r="H7" s="156">
        <f t="shared" si="2"/>
        <v>335.67379999999997</v>
      </c>
      <c r="I7" s="214" t="s">
        <v>147</v>
      </c>
    </row>
    <row r="8" spans="1:9">
      <c r="A8" s="209">
        <v>6</v>
      </c>
      <c r="B8" s="129">
        <v>45876</v>
      </c>
      <c r="C8" s="121" t="s">
        <v>52</v>
      </c>
      <c r="D8" s="152">
        <f t="shared" si="0"/>
        <v>0.99399999999999999</v>
      </c>
      <c r="E8" s="123">
        <v>3135.88</v>
      </c>
      <c r="F8" s="124">
        <v>1</v>
      </c>
      <c r="G8" s="153">
        <f t="shared" si="1"/>
        <v>3135.88</v>
      </c>
      <c r="H8" s="156">
        <f t="shared" si="2"/>
        <v>3117.0647200000003</v>
      </c>
      <c r="I8" s="213" t="s">
        <v>148</v>
      </c>
    </row>
    <row r="9" spans="1:9">
      <c r="A9" s="209">
        <v>7</v>
      </c>
      <c r="B9" s="130">
        <v>45876</v>
      </c>
      <c r="C9" s="126" t="s">
        <v>54</v>
      </c>
      <c r="D9" s="152">
        <f t="shared" si="0"/>
        <v>2.2349999999999999</v>
      </c>
      <c r="E9" s="127">
        <v>2.7</v>
      </c>
      <c r="F9" s="128">
        <v>1</v>
      </c>
      <c r="G9" s="153">
        <f t="shared" si="1"/>
        <v>2.7</v>
      </c>
      <c r="H9" s="156">
        <f t="shared" si="2"/>
        <v>6.0345000000000004</v>
      </c>
      <c r="I9" s="214" t="s">
        <v>149</v>
      </c>
    </row>
    <row r="10" spans="1:9">
      <c r="A10" s="209">
        <v>8</v>
      </c>
      <c r="B10" s="129">
        <v>45878</v>
      </c>
      <c r="C10" s="121" t="s">
        <v>52</v>
      </c>
      <c r="D10" s="152">
        <f t="shared" si="0"/>
        <v>0.99399999999999999</v>
      </c>
      <c r="E10" s="123">
        <v>252.4</v>
      </c>
      <c r="F10" s="124">
        <v>1</v>
      </c>
      <c r="G10" s="153">
        <f t="shared" si="1"/>
        <v>252.4</v>
      </c>
      <c r="H10" s="156">
        <f t="shared" si="2"/>
        <v>250.88560000000001</v>
      </c>
      <c r="I10" s="211" t="s">
        <v>150</v>
      </c>
    </row>
    <row r="11" spans="1:9">
      <c r="A11" s="209">
        <v>9</v>
      </c>
      <c r="B11" s="130">
        <v>45878</v>
      </c>
      <c r="C11" s="126" t="s">
        <v>53</v>
      </c>
      <c r="D11" s="152">
        <f t="shared" si="0"/>
        <v>1.552</v>
      </c>
      <c r="E11" s="127">
        <v>308.10000000000002</v>
      </c>
      <c r="F11" s="128">
        <v>1</v>
      </c>
      <c r="G11" s="153">
        <f t="shared" si="1"/>
        <v>308.10000000000002</v>
      </c>
      <c r="H11" s="156">
        <f t="shared" si="2"/>
        <v>478.17120000000006</v>
      </c>
      <c r="I11" s="212" t="s">
        <v>150</v>
      </c>
    </row>
    <row r="12" spans="1:9">
      <c r="A12" s="209">
        <v>10</v>
      </c>
      <c r="B12" s="129">
        <v>45878</v>
      </c>
      <c r="C12" s="121" t="s">
        <v>52</v>
      </c>
      <c r="D12" s="152">
        <f t="shared" si="0"/>
        <v>0.99399999999999999</v>
      </c>
      <c r="E12" s="123">
        <v>97.6</v>
      </c>
      <c r="F12" s="124">
        <v>1</v>
      </c>
      <c r="G12" s="153">
        <f t="shared" si="1"/>
        <v>97.6</v>
      </c>
      <c r="H12" s="156">
        <f t="shared" si="2"/>
        <v>97.014399999999995</v>
      </c>
      <c r="I12" s="211" t="s">
        <v>151</v>
      </c>
    </row>
    <row r="13" spans="1:9">
      <c r="A13" s="209">
        <v>11</v>
      </c>
      <c r="B13" s="130">
        <v>45878</v>
      </c>
      <c r="C13" s="126" t="s">
        <v>53</v>
      </c>
      <c r="D13" s="152">
        <f t="shared" si="0"/>
        <v>1.552</v>
      </c>
      <c r="E13" s="127">
        <v>1280</v>
      </c>
      <c r="F13" s="128">
        <v>1</v>
      </c>
      <c r="G13" s="153">
        <f t="shared" si="1"/>
        <v>1280</v>
      </c>
      <c r="H13" s="156">
        <f t="shared" si="2"/>
        <v>1986.56</v>
      </c>
      <c r="I13" s="212" t="s">
        <v>151</v>
      </c>
    </row>
    <row r="14" spans="1:9">
      <c r="A14" s="219">
        <v>12</v>
      </c>
      <c r="B14" s="189">
        <v>45878</v>
      </c>
      <c r="C14" s="220" t="s">
        <v>52</v>
      </c>
      <c r="D14" s="221">
        <f t="shared" si="0"/>
        <v>0.99399999999999999</v>
      </c>
      <c r="E14" s="222">
        <v>1056</v>
      </c>
      <c r="F14" s="223">
        <v>1</v>
      </c>
      <c r="G14" s="224">
        <f t="shared" si="1"/>
        <v>1056</v>
      </c>
      <c r="H14" s="225">
        <f t="shared" si="2"/>
        <v>1049.664</v>
      </c>
      <c r="I14" s="226" t="s">
        <v>151</v>
      </c>
    </row>
    <row r="15" spans="1:9" ht="15.75" thickBot="1">
      <c r="A15" s="105"/>
      <c r="B15" s="105"/>
      <c r="C15" s="105"/>
      <c r="D15" s="105"/>
      <c r="E15" s="105"/>
      <c r="F15" s="105"/>
      <c r="G15" s="105"/>
      <c r="H15" s="105"/>
      <c r="I15" s="105"/>
    </row>
    <row r="16" spans="1:9" ht="43.5" thickBot="1">
      <c r="A16" s="106" t="s">
        <v>154</v>
      </c>
      <c r="B16" s="111"/>
      <c r="C16" s="111"/>
      <c r="D16" s="111"/>
      <c r="E16" s="111"/>
      <c r="F16" s="111"/>
      <c r="G16" s="111"/>
      <c r="H16" s="111"/>
      <c r="I16" s="107"/>
    </row>
    <row r="17" spans="2:8" ht="16.5" thickBot="1">
      <c r="B17" s="231" t="s">
        <v>37</v>
      </c>
      <c r="C17" s="232" t="s">
        <v>38</v>
      </c>
      <c r="D17" s="233" t="s">
        <v>39</v>
      </c>
      <c r="E17" s="233" t="s">
        <v>59</v>
      </c>
      <c r="F17" s="233" t="s">
        <v>58</v>
      </c>
      <c r="G17" s="233" t="s">
        <v>65</v>
      </c>
      <c r="H17" s="234" t="s">
        <v>2</v>
      </c>
    </row>
    <row r="18" spans="2:8">
      <c r="B18" s="227">
        <v>1</v>
      </c>
      <c r="C18" s="136">
        <v>45752</v>
      </c>
      <c r="D18" s="137" t="s">
        <v>52</v>
      </c>
      <c r="E18" s="138">
        <f>VLOOKUP(D18,$D$32:$F$36,2,0)</f>
        <v>0.99399999999999999</v>
      </c>
      <c r="F18" s="139">
        <v>6010</v>
      </c>
      <c r="G18" s="140">
        <f>IF(F18="","-",F18/1000)</f>
        <v>6.01</v>
      </c>
      <c r="H18" s="230" t="s">
        <v>156</v>
      </c>
    </row>
    <row r="19" spans="2:8">
      <c r="B19" s="228">
        <v>2</v>
      </c>
      <c r="C19" s="112">
        <v>45752</v>
      </c>
      <c r="D19" s="113" t="s">
        <v>55</v>
      </c>
      <c r="E19" s="138">
        <f t="shared" ref="E19:E28" si="3">VLOOKUP(D19,$D$32:$F$36,2,0)</f>
        <v>3.9780000000000002</v>
      </c>
      <c r="F19" s="114">
        <v>19945</v>
      </c>
      <c r="G19" s="140">
        <f t="shared" ref="G19:G28" si="4">IF(F19="","-",F19/1000)</f>
        <v>19.945</v>
      </c>
      <c r="H19" s="230" t="s">
        <v>156</v>
      </c>
    </row>
    <row r="20" spans="2:8">
      <c r="B20" s="228">
        <v>3</v>
      </c>
      <c r="C20" s="112">
        <v>45767</v>
      </c>
      <c r="D20" s="113" t="s">
        <v>51</v>
      </c>
      <c r="E20" s="138">
        <f t="shared" si="3"/>
        <v>0.55800000000000005</v>
      </c>
      <c r="F20" s="114">
        <v>5085</v>
      </c>
      <c r="G20" s="140">
        <f t="shared" si="4"/>
        <v>5.085</v>
      </c>
      <c r="H20" s="230" t="s">
        <v>156</v>
      </c>
    </row>
    <row r="21" spans="2:8">
      <c r="B21" s="228">
        <v>4</v>
      </c>
      <c r="C21" s="112">
        <v>45767</v>
      </c>
      <c r="D21" s="113" t="s">
        <v>52</v>
      </c>
      <c r="E21" s="138">
        <f t="shared" si="3"/>
        <v>0.99399999999999999</v>
      </c>
      <c r="F21" s="114">
        <v>24915</v>
      </c>
      <c r="G21" s="140">
        <f t="shared" si="4"/>
        <v>24.914999999999999</v>
      </c>
      <c r="H21" s="230" t="s">
        <v>156</v>
      </c>
    </row>
    <row r="22" spans="2:8">
      <c r="B22" s="228">
        <v>5</v>
      </c>
      <c r="C22" s="112">
        <v>45767</v>
      </c>
      <c r="D22" s="113" t="s">
        <v>54</v>
      </c>
      <c r="E22" s="138">
        <f t="shared" si="3"/>
        <v>2.2349999999999999</v>
      </c>
      <c r="F22" s="114">
        <v>14980</v>
      </c>
      <c r="G22" s="140">
        <f t="shared" si="4"/>
        <v>14.98</v>
      </c>
      <c r="H22" s="230" t="s">
        <v>156</v>
      </c>
    </row>
    <row r="23" spans="2:8">
      <c r="B23" s="228">
        <v>6</v>
      </c>
      <c r="C23" s="112">
        <v>45767</v>
      </c>
      <c r="D23" s="113" t="s">
        <v>55</v>
      </c>
      <c r="E23" s="138">
        <f t="shared" si="3"/>
        <v>3.9780000000000002</v>
      </c>
      <c r="F23" s="114">
        <v>10030</v>
      </c>
      <c r="G23" s="140">
        <f t="shared" si="4"/>
        <v>10.029999999999999</v>
      </c>
      <c r="H23" s="230" t="s">
        <v>156</v>
      </c>
    </row>
    <row r="24" spans="2:8">
      <c r="B24" s="228">
        <v>7</v>
      </c>
      <c r="C24" s="112">
        <v>45851</v>
      </c>
      <c r="D24" s="113" t="s">
        <v>52</v>
      </c>
      <c r="E24" s="138">
        <f t="shared" si="3"/>
        <v>0.99399999999999999</v>
      </c>
      <c r="F24" s="114">
        <v>35787</v>
      </c>
      <c r="G24" s="140">
        <f t="shared" si="4"/>
        <v>35.786999999999999</v>
      </c>
      <c r="H24" s="230" t="s">
        <v>156</v>
      </c>
    </row>
    <row r="25" spans="2:8">
      <c r="B25" s="228">
        <v>8</v>
      </c>
      <c r="C25" s="112">
        <v>45851</v>
      </c>
      <c r="D25" s="113" t="s">
        <v>53</v>
      </c>
      <c r="E25" s="138">
        <f t="shared" si="3"/>
        <v>1.552</v>
      </c>
      <c r="F25" s="114">
        <v>5009</v>
      </c>
      <c r="G25" s="140">
        <f t="shared" si="4"/>
        <v>5.0090000000000003</v>
      </c>
      <c r="H25" s="230" t="s">
        <v>156</v>
      </c>
    </row>
    <row r="26" spans="2:8">
      <c r="B26" s="228">
        <v>9</v>
      </c>
      <c r="C26" s="112">
        <v>45851</v>
      </c>
      <c r="D26" s="113" t="s">
        <v>54</v>
      </c>
      <c r="E26" s="138">
        <f t="shared" si="3"/>
        <v>2.2349999999999999</v>
      </c>
      <c r="F26" s="114">
        <v>9849</v>
      </c>
      <c r="G26" s="140">
        <f t="shared" si="4"/>
        <v>9.8490000000000002</v>
      </c>
      <c r="H26" s="230" t="s">
        <v>156</v>
      </c>
    </row>
    <row r="27" spans="2:8">
      <c r="B27" s="228">
        <v>10</v>
      </c>
      <c r="C27" s="112">
        <v>45860</v>
      </c>
      <c r="D27" s="113" t="s">
        <v>52</v>
      </c>
      <c r="E27" s="138">
        <f t="shared" si="3"/>
        <v>0.99399999999999999</v>
      </c>
      <c r="F27" s="114">
        <v>24930</v>
      </c>
      <c r="G27" s="140">
        <f t="shared" si="4"/>
        <v>24.93</v>
      </c>
      <c r="H27" s="230" t="s">
        <v>156</v>
      </c>
    </row>
    <row r="28" spans="2:8" ht="15.75" thickBot="1">
      <c r="B28" s="229">
        <v>11</v>
      </c>
      <c r="C28" s="133">
        <v>45878</v>
      </c>
      <c r="D28" s="134" t="s">
        <v>53</v>
      </c>
      <c r="E28" s="138">
        <f t="shared" si="3"/>
        <v>1.552</v>
      </c>
      <c r="F28" s="135">
        <v>50000</v>
      </c>
      <c r="G28" s="140">
        <f t="shared" si="4"/>
        <v>50</v>
      </c>
      <c r="H28" s="230" t="s">
        <v>156</v>
      </c>
    </row>
    <row r="29" spans="2:8" ht="15.75" thickBot="1"/>
    <row r="30" spans="2:8" ht="19.5" thickBot="1">
      <c r="D30" s="149" t="s">
        <v>155</v>
      </c>
      <c r="E30" s="150"/>
      <c r="F30" s="151"/>
    </row>
    <row r="31" spans="2:8" ht="15.75" thickBot="1">
      <c r="D31" s="141" t="s">
        <v>56</v>
      </c>
      <c r="E31" s="142" t="s">
        <v>49</v>
      </c>
      <c r="F31" s="143" t="s">
        <v>111</v>
      </c>
    </row>
    <row r="32" spans="2:8">
      <c r="D32" s="144" t="s">
        <v>51</v>
      </c>
      <c r="E32" s="145">
        <v>0.55800000000000005</v>
      </c>
      <c r="F32" s="146" t="s">
        <v>50</v>
      </c>
    </row>
    <row r="33" spans="4:6">
      <c r="D33" s="119" t="s">
        <v>52</v>
      </c>
      <c r="E33" s="122">
        <v>0.99399999999999999</v>
      </c>
      <c r="F33" s="147" t="s">
        <v>50</v>
      </c>
    </row>
    <row r="34" spans="4:6">
      <c r="D34" s="119" t="s">
        <v>53</v>
      </c>
      <c r="E34" s="122">
        <v>1.552</v>
      </c>
      <c r="F34" s="147" t="s">
        <v>50</v>
      </c>
    </row>
    <row r="35" spans="4:6">
      <c r="D35" s="119" t="s">
        <v>54</v>
      </c>
      <c r="E35" s="122">
        <v>2.2349999999999999</v>
      </c>
      <c r="F35" s="147" t="s">
        <v>50</v>
      </c>
    </row>
    <row r="36" spans="4:6" ht="15.75" thickBot="1">
      <c r="D36" s="131" t="s">
        <v>55</v>
      </c>
      <c r="E36" s="132">
        <v>3.9780000000000002</v>
      </c>
      <c r="F36" s="148" t="s">
        <v>50</v>
      </c>
    </row>
  </sheetData>
  <mergeCells count="3">
    <mergeCell ref="A1:I1"/>
    <mergeCell ref="A16:I16"/>
    <mergeCell ref="D30:F30"/>
  </mergeCells>
  <dataValidations count="1">
    <dataValidation type="list" allowBlank="1" showInputMessage="1" showErrorMessage="1" sqref="C2:C14 D17:D28" xr:uid="{8E258F36-52F3-4F78-851C-72A09D3781BE}">
      <formula1>Steel_Size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july24</vt:lpstr>
      <vt:lpstr>July 26</vt:lpstr>
      <vt:lpstr>JULY 28</vt:lpstr>
      <vt:lpstr>July29</vt:lpstr>
      <vt:lpstr>July 29-1</vt:lpstr>
      <vt:lpstr>July 30</vt:lpstr>
      <vt:lpstr>Summary Steel &amp; Cement</vt:lpstr>
      <vt:lpstr>Cement_Data</vt:lpstr>
      <vt:lpstr>Steel_Data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2026-02-18T09:21:16Z</dcterms:modified>
</cp:coreProperties>
</file>